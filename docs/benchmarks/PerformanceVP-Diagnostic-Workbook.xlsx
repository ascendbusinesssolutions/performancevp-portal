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gagement Metadata" sheetId="1" state="visible" r:id="rId3"/>
    <sheet name="Tier Assignment" sheetId="2" state="visible" r:id="rId4"/>
    <sheet name="Capability Inputs" sheetId="3" state="visible" r:id="rId5"/>
    <sheet name="Motivation Inputs" sheetId="4" state="visible" r:id="rId6"/>
    <sheet name="Opportunity Inputs" sheetId="5" state="visible" r:id="rId7"/>
    <sheet name="Synergy Inputs" sheetId="6" state="visible" r:id="rId8"/>
    <sheet name="DLP" sheetId="7" state="visible" r:id="rId9"/>
    <sheet name="Behavioural Triangulators" sheetId="8" state="visible" r:id="rId10"/>
    <sheet name="Sector Classification" sheetId="9" state="visible" r:id="rId11"/>
    <sheet name="Composite Scoring" sheetId="10" state="visible" r:id="rId12"/>
    <sheet name="Methodology Footer" sheetId="11" state="visible" r:id="rId13"/>
    <sheet name="Report Data" sheetId="12" state="visible" r:id="rId14"/>
    <sheet name="Ref" sheetId="13" state="hidden" r:id="rId15"/>
    <sheet name="Analyst Evidence" sheetId="14" state="visible" r:id="rId16"/>
  </sheets>
  <definedNames>
    <definedName function="false" hidden="false" name="ev_BINDING" vbProcedure="false">'Analyst Evidence'!$C$11</definedName>
    <definedName function="false" hidden="false" name="ev_CAPABILITY" vbProcedure="false">'Analyst Evidence'!$C$6</definedName>
    <definedName function="false" hidden="false" name="ev_CONTEXT" vbProcedure="false">'Analyst Evidence'!$C$5</definedName>
    <definedName function="false" hidden="false" name="ev_DLP" vbProcedure="false">'Analyst Evidence'!$C$10</definedName>
    <definedName function="false" hidden="false" name="ev_INTERVENTIONS" vbProcedure="false">'Analyst Evidence'!$C$12</definedName>
    <definedName function="false" hidden="false" name="ev_MOTIVATION" vbProcedure="false">'Analyst Evidence'!$C$7</definedName>
    <definedName function="false" hidden="false" name="ev_NONSTANDARD" vbProcedure="false">'Analyst Evidence'!$C$13</definedName>
    <definedName function="false" hidden="false" name="ev_OPPORTUNITY" vbProcedure="false">'Analyst Evidence'!$C$8</definedName>
    <definedName function="false" hidden="false" name="ev_SYNERGY" vbProcedure="false">'Analyst Evidence'!$C$9</definedName>
    <definedName function="false" hidden="false" name="mf_COMPOSITE_TIER_RATING" vbProcedure="false">'Methodology Footer'!$C$13</definedName>
    <definedName function="false" hidden="false" name="mf_CONFIDENCE_TABLE" vbProcedure="false">'Tier Assignment'!$A$5:$E$25</definedName>
    <definedName function="false" hidden="false" name="mf_CRITICAL_FINDINGS" vbProcedure="false">'Methodology Footer'!$C$24</definedName>
    <definedName function="false" hidden="false" name="mf_EXCLUSIONS" vbProcedure="false">'Methodology Footer'!$C$41</definedName>
    <definedName function="false" hidden="false" name="mf_GAP_FLAGS_FIRED" vbProcedure="false">'Methodology Footer'!$A$17:$C$22</definedName>
    <definedName function="false" hidden="false" name="mf_INTERNAL_COMPARISON_NOTE" vbProcedure="false">'Methodology Footer'!$C$25</definedName>
    <definedName function="false" hidden="false" name="mf_NONSTANDARD_DEFINITIONS" vbProcedure="false">'Methodology Footer'!$C$43</definedName>
    <definedName function="false" hidden="false" name="mf_P_CONFIDENCE" vbProcedure="false">'Methodology Footer'!$C$15</definedName>
    <definedName function="false" hidden="false" name="mf_RESPONSE_RATES" vbProcedure="false">'Methodology Footer'!$A$28:$C$39</definedName>
    <definedName function="false" hidden="false" name="mf_TIER_MIX" vbProcedure="false">'Tier Assignment'!$A$5:$D$25</definedName>
    <definedName function="false" hidden="false" name="rd_ANALYST" vbProcedure="false">'Report Data'!$C$96</definedName>
    <definedName function="false" hidden="false" name="rd_ARCHETYPE" vbProcedure="false">'Report Data'!$C$94</definedName>
    <definedName function="false" hidden="false" name="rd_BINDING_COMPONENT" vbProcedure="false">'Report Data'!$C$56</definedName>
    <definedName function="false" hidden="false" name="rd_BINDING_STATEMENT" vbProcedure="false">'Report Data'!$C$11</definedName>
    <definedName function="false" hidden="false" name="rd_C1" vbProcedure="false">'Report Data'!$C$14</definedName>
    <definedName function="false" hidden="false" name="rd_C2" vbProcedure="false">'Report Data'!$C$15</definedName>
    <definedName function="false" hidden="false" name="rd_C3" vbProcedure="false">'Report Data'!$C$16</definedName>
    <definedName function="false" hidden="false" name="rd_C4" vbProcedure="false">'Report Data'!$C$17</definedName>
    <definedName function="false" hidden="false" name="rd_C5" vbProcedure="false">'Report Data'!$C$18</definedName>
    <definedName function="false" hidden="false" name="rd_CII_CLARITY" vbProcedure="false">'Report Data'!$C$45</definedName>
    <definedName function="false" hidden="false" name="rd_CII_FLOW" vbProcedure="false">'Report Data'!$C$47</definedName>
    <definedName function="false" hidden="false" name="rd_CII_TRUST" vbProcedure="false">'Report Data'!$C$46</definedName>
    <definedName function="false" hidden="false" name="rd_CLIENT" vbProcedure="false">'Report Data'!$C$87</definedName>
    <definedName function="false" hidden="false" name="rd_CRITICAL_FINDINGS" vbProcedure="false">'Report Data'!$C$73</definedName>
    <definedName function="false" hidden="false" name="rd_C_BAND" vbProcedure="false">'Report Data'!$D$7</definedName>
    <definedName function="false" hidden="false" name="rd_C_SCORE" vbProcedure="false">'Report Data'!$C$7</definedName>
    <definedName function="false" hidden="false" name="rd_DIAGNOSTIC_REF" vbProcedure="false">'Report Data'!$C$97</definedName>
    <definedName function="false" hidden="false" name="rd_DLP_SAMPLE_N" vbProcedure="false">'Report Data'!$C$76</definedName>
    <definedName function="false" hidden="false" name="rd_DLP_TOP_DECISIONS" vbProcedure="false">'Report Data'!$B$79:$D$84</definedName>
    <definedName function="false" hidden="false" name="rd_DLS" vbProcedure="false">'Report Data'!$C$32</definedName>
    <definedName function="false" hidden="false" name="rd_DLS_OPERATIONAL" vbProcedure="false">'Report Data'!$C$33</definedName>
    <definedName function="false" hidden="false" name="rd_DLS_STRATEGIC" vbProcedure="false">'Report Data'!$C$35</definedName>
    <definedName function="false" hidden="false" name="rd_DLS_TACTICAL" vbProcedure="false">'Report Data'!$C$34</definedName>
    <definedName function="false" hidden="false" name="rd_ENGAGEMENT_DATE" vbProcedure="false">'Report Data'!$C$95</definedName>
    <definedName function="false" hidden="false" name="rd_FALSE_CONSENSUS_FLAG" vbProcedure="false">'Report Data'!$C$72</definedName>
    <definedName function="false" hidden="false" name="rd_M1" vbProcedure="false">'Report Data'!$C$19</definedName>
    <definedName function="false" hidden="false" name="rd_M1_GAP_FLAG" vbProcedure="false">'Report Data'!$C$71</definedName>
    <definedName function="false" hidden="false" name="rd_M2" vbProcedure="false">'Report Data'!$C$20</definedName>
    <definedName function="false" hidden="false" name="rd_M3" vbProcedure="false">'Report Data'!$C$21</definedName>
    <definedName function="false" hidden="false" name="rd_M4" vbProcedure="false">'Report Data'!$C$22</definedName>
    <definedName function="false" hidden="false" name="rd_M_BAND" vbProcedure="false">'Report Data'!$D$8</definedName>
    <definedName function="false" hidden="false" name="rd_M_SCORE" vbProcedure="false">'Report Data'!$C$8</definedName>
    <definedName function="false" hidden="false" name="rd_O1" vbProcedure="false">'Report Data'!$C$23</definedName>
    <definedName function="false" hidden="false" name="rd_O1_GAP" vbProcedure="false">'Report Data'!$D$51</definedName>
    <definedName function="false" hidden="false" name="rd_O1_GAP_FLAG" vbProcedure="false">'Report Data'!$E$51</definedName>
    <definedName function="false" hidden="false" name="rd_O1_PERCEPTION" vbProcedure="false">'Report Data'!$C$51</definedName>
    <definedName function="false" hidden="false" name="rd_O1_STRUCTURAL" vbProcedure="false">'Report Data'!$B$51</definedName>
    <definedName function="false" hidden="false" name="rd_O2" vbProcedure="false">'Report Data'!$C$24</definedName>
    <definedName function="false" hidden="false" name="rd_O2_GAP" vbProcedure="false">'Report Data'!$D$52</definedName>
    <definedName function="false" hidden="false" name="rd_O2_GAP_FLAG" vbProcedure="false">'Report Data'!$E$52</definedName>
    <definedName function="false" hidden="false" name="rd_O2_PERCEPTION" vbProcedure="false">'Report Data'!$C$52</definedName>
    <definedName function="false" hidden="false" name="rd_O2_STRUCTURAL" vbProcedure="false">'Report Data'!$B$52</definedName>
    <definedName function="false" hidden="false" name="rd_O3" vbProcedure="false">'Report Data'!$C$25</definedName>
    <definedName function="false" hidden="false" name="rd_O3_GAP" vbProcedure="false">'Report Data'!$D$53</definedName>
    <definedName function="false" hidden="false" name="rd_O3_GAP_FLAG" vbProcedure="false">'Report Data'!$E$53</definedName>
    <definedName function="false" hidden="false" name="rd_O3_PERCEPTION" vbProcedure="false">'Report Data'!$C$53</definedName>
    <definedName function="false" hidden="false" name="rd_O3_STRUCTURAL" vbProcedure="false">'Report Data'!$B$53</definedName>
    <definedName function="false" hidden="false" name="rd_O4" vbProcedure="false">'Report Data'!$C$26</definedName>
    <definedName function="false" hidden="false" name="rd_O5" vbProcedure="false">'Report Data'!$C$27</definedName>
    <definedName function="false" hidden="false" name="rd_O_BAND" vbProcedure="false">'Report Data'!$D$9</definedName>
    <definedName function="false" hidden="false" name="rd_O_SCORE" vbProcedure="false">'Report Data'!$C$9</definedName>
    <definedName function="false" hidden="false" name="rd_PRIORITY_TABLE" vbProcedure="false">'Report Data'!$A$59:$F$65</definedName>
    <definedName function="false" hidden="false" name="rd_P_BAND" vbProcedure="false">'Report Data'!$D$5</definedName>
    <definedName function="false" hidden="false" name="rd_P_CONFIDENCE" vbProcedure="false">'Report Data'!$C$6</definedName>
    <definedName function="false" hidden="false" name="rd_P_SCORE" vbProcedure="false">'Report Data'!$C$5</definedName>
    <definedName function="false" hidden="false" name="rd_S1" vbProcedure="false">'Report Data'!$C$28</definedName>
    <definedName function="false" hidden="false" name="rd_S2" vbProcedure="false">'Report Data'!$C$29</definedName>
    <definedName function="false" hidden="false" name="rd_S3" vbProcedure="false">'Report Data'!$C$30</definedName>
    <definedName function="false" hidden="false" name="rd_SECTOR" vbProcedure="false">'Report Data'!$C$90</definedName>
    <definedName function="false" hidden="false" name="rd_SIZE_BAND" vbProcedure="false">'Report Data'!$C$92</definedName>
    <definedName function="false" hidden="false" name="rd_SUBDIM_TABLE" vbProcedure="false">'Report Data'!$A$14:$E$30</definedName>
    <definedName function="false" hidden="false" name="rd_SUBSECTOR" vbProcedure="false">'Report Data'!$C$91</definedName>
    <definedName function="false" hidden="false" name="rd_S_COEFF" vbProcedure="false">'Report Data'!$C$10</definedName>
    <definedName function="false" hidden="false" name="rd_S_INTERNAL" vbProcedure="false">'Report Data'!$C$42</definedName>
    <definedName function="false" hidden="false" name="rd_TW1_FLAG" vbProcedure="false">'Report Data'!$D$37</definedName>
    <definedName function="false" hidden="false" name="rd_TW1_SCORE" vbProcedure="false">'Report Data'!$C$37</definedName>
    <definedName function="false" hidden="false" name="rd_TW2_FLAG" vbProcedure="false">'Report Data'!$D$38</definedName>
    <definedName function="false" hidden="false" name="rd_TW2_SCORE" vbProcedure="false">'Report Data'!$C$38</definedName>
    <definedName function="false" hidden="false" name="rd_TW3_FLAG" vbProcedure="false">'Report Data'!$D$39</definedName>
    <definedName function="false" hidden="false" name="rd_TW3_SCORE" vbProcedure="false">'Report Data'!$C$39</definedName>
    <definedName function="false" hidden="false" name="rd_UNIT" vbProcedure="false">'Report Data'!$C$88</definedName>
    <definedName function="false" hidden="false" name="rd_UNIT_COMPARISON_ROW" vbProcedure="false">'Report Data'!$A$100:$H$101</definedName>
    <definedName function="false" hidden="false" name="rd_UNIT_FTE" vbProcedure="false">'Report Data'!$C$89</definedName>
    <definedName function="false" hidden="false" name="rd_UNIT_TYPE" vbProcedure="false">'Report Data'!$C$93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Type B. From LMS/assessment (Tier 1/2) or KDS module (Tier 3). Apply any Tier-2 proxy conversion before entry.</t>
        </r>
      </text>
    </comment>
    <comment ref="C20" authorId="0">
      <text>
        <r>
          <rPr>
            <sz val="10"/>
            <rFont val="Arial"/>
            <family val="2"/>
          </rPr>
          <t xml:space="preserve">Type B. From LMS/assessment (Tier 1/2) or KDS module (Tier 3). Apply any Tier-2 proxy conversion before entry.</t>
        </r>
      </text>
    </comment>
    <comment ref="C21" authorId="0">
      <text>
        <r>
          <rPr>
            <sz val="10"/>
            <rFont val="Arial"/>
            <family val="2"/>
          </rPr>
          <t xml:space="preserve">Type B. From LMS/assessment (Tier 1/2) or KDS module (Tier 3). Apply any Tier-2 proxy conversion before entry.</t>
        </r>
      </text>
    </comment>
    <comment ref="C22" authorId="0">
      <text>
        <r>
          <rPr>
            <sz val="10"/>
            <rFont val="Arial"/>
            <family val="2"/>
          </rPr>
          <t xml:space="preserve">Type B. From LMS/assessment (Tier 1/2) or KDS module (Tier 3). Apply any Tier-2 proxy conversion before entry.</t>
        </r>
      </text>
    </comment>
    <comment ref="D7" authorId="0">
      <text>
        <r>
          <rPr>
            <sz val="10"/>
            <rFont val="Arial"/>
            <family val="2"/>
          </rPr>
          <t xml:space="preserve">Type B. Sum of skills demonstrated at threshold across the role family, AFTER any provider-specific Tier-2 adjustment (Compono -0.5; LinkedIn 50%; Eightfold 25% spot-confirm). Record adjustment in Tier Assignment notes.</t>
        </r>
      </text>
    </comment>
    <comment ref="D8" authorId="0">
      <text>
        <r>
          <rPr>
            <sz val="10"/>
            <rFont val="Arial"/>
            <family val="2"/>
          </rPr>
          <t xml:space="preserve">Type B. Sum of skills demonstrated at threshold across the role family, AFTER any provider-specific Tier-2 adjustment (Compono -0.5; LinkedIn 50%; Eightfold 25% spot-confirm). Record adjustment in Tier Assignment notes.</t>
        </r>
      </text>
    </comment>
    <comment ref="D9" authorId="0">
      <text>
        <r>
          <rPr>
            <sz val="10"/>
            <rFont val="Arial"/>
            <family val="2"/>
          </rPr>
          <t xml:space="preserve">Type B. Sum of skills demonstrated at threshold across the role family, AFTER any provider-specific Tier-2 adjustment (Compono -0.5; LinkedIn 50%; Eightfold 25% spot-confirm). Record adjustment in Tier Assignment notes.</t>
        </r>
      </text>
    </comment>
    <comment ref="D10" authorId="0">
      <text>
        <r>
          <rPr>
            <sz val="10"/>
            <rFont val="Arial"/>
            <family val="2"/>
          </rPr>
          <t xml:space="preserve">&lt;18m → ×0.95; 18m–8y → none; &gt;8y (96m) → ×1.05 (Measurement Ref 2.1).</t>
        </r>
      </text>
    </comment>
    <comment ref="D13" authorId="0">
      <text>
        <r>
          <rPr>
            <sz val="10"/>
            <rFont val="Arial"/>
            <family val="2"/>
          </rPr>
          <t xml:space="preserve">Type C. Computed per Tier 3 Module Library 4.1 (coverage + 15% audit adjustment) BEFORE entry.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Type C. From Culture Amp / Glint / Peakon, already 0–100 (Measurement Ref 3.1).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Type C. Finished 0–100 score computed outside the workbook per the module/doc-review rule.</t>
        </r>
      </text>
    </comment>
    <comment ref="D6" authorId="0">
      <text>
        <r>
          <rPr>
            <sz val="10"/>
            <rFont val="Arial"/>
            <family val="2"/>
          </rPr>
          <t xml:space="preserve">Type C. Finished 0–100 score computed outside the workbook per the module/doc-review rule.</t>
        </r>
      </text>
    </comment>
    <comment ref="D7" authorId="0">
      <text>
        <r>
          <rPr>
            <sz val="10"/>
            <rFont val="Arial"/>
            <family val="2"/>
          </rPr>
          <t xml:space="preserve">Type C. Finished 0–100 score computed outside the workbook per the module/doc-review rule.</t>
        </r>
      </text>
    </comment>
    <comment ref="D26" authorId="0">
      <text>
        <r>
          <rPr>
            <sz val="10"/>
            <rFont val="Arial"/>
            <family val="2"/>
          </rPr>
          <t xml:space="preserve">Type C. Finished 0–100 score computed outside the workbook per the module/doc-review rule.</t>
        </r>
      </text>
    </comment>
    <comment ref="D27" authorId="0">
      <text>
        <r>
          <rPr>
            <sz val="10"/>
            <rFont val="Arial"/>
            <family val="2"/>
          </rPr>
          <t xml:space="preserve">Type C. Finished 0–100 score computed outside the workbook per the module/doc-review rule.</t>
        </r>
      </text>
    </comment>
    <comment ref="D28" authorId="0">
      <text>
        <r>
          <rPr>
            <sz val="10"/>
            <rFont val="Arial"/>
            <family val="2"/>
          </rPr>
          <t xml:space="preserve">Type C. Finished 0–100 score computed outside the workbook per the module/doc-review rule.</t>
        </r>
      </text>
    </comment>
    <comment ref="D43" authorId="0">
      <text>
        <r>
          <rPr>
            <sz val="10"/>
            <rFont val="Arial"/>
            <family val="2"/>
          </rPr>
          <t xml:space="preserve">Type C. Finished 0–100 score computed outside the workbook per the module/doc-review rule.</t>
        </r>
      </text>
    </comment>
    <comment ref="D59" authorId="0">
      <text>
        <r>
          <rPr>
            <sz val="10"/>
            <rFont val="Arial"/>
            <family val="2"/>
          </rPr>
          <t xml:space="preserve">Type C. Composite from workload-to-capacity, stress signals, backlog (Measurement Ref 4.4).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Analyst-computed from C1 skills data (Measurement Ref 5.1).</t>
        </r>
      </text>
    </comment>
    <comment ref="D7" authorId="0">
      <text>
        <r>
          <rPr>
            <sz val="10"/>
            <rFont val="Arial"/>
            <family val="2"/>
          </rPr>
          <t xml:space="preserve">100 − Gini×100 across skill-count-per-member.</t>
        </r>
      </text>
    </comment>
  </commentList>
</comments>
</file>

<file path=xl/sharedStrings.xml><?xml version="1.0" encoding="utf-8"?>
<sst xmlns="http://schemas.openxmlformats.org/spreadsheetml/2006/main" count="843" uniqueCount="557">
  <si>
    <t xml:space="preserve">The Performance Equation - Diagnostic Workbook</t>
  </si>
  <si>
    <t xml:space="preserve">Scoring engine - one workbook per unit. Enter data only in shaded input cells; all other cells calculate automatically.</t>
  </si>
  <si>
    <t xml:space="preserve">Cell legend</t>
  </si>
  <si>
    <t xml:space="preserve">INPUT - you type here</t>
  </si>
  <si>
    <t xml:space="preserve">Calculated - do not edit</t>
  </si>
  <si>
    <t xml:space="preserve">Three input types ↓</t>
  </si>
  <si>
    <t xml:space="preserve">Type A - raw survey item means (1.00–5.00); the workbook reverse-scores and converts.</t>
  </si>
  <si>
    <t xml:space="preserve">Type B - structured counts; apply any provider-specific Tier-2 adjustment BEFORE entry, then the workbook does the final formula.</t>
  </si>
  <si>
    <t xml:space="preserve">Type C - finished 0–100 score computed OUTSIDE the workbook (module / platform / audit rule); the workbook uses it as given.</t>
  </si>
  <si>
    <t xml:space="preserve">Engagement details</t>
  </si>
  <si>
    <t xml:space="preserve">Client name</t>
  </si>
  <si>
    <t xml:space="preserve">Northwind Mutual</t>
  </si>
  <si>
    <t xml:space="preserve">Unit name</t>
  </si>
  <si>
    <t xml:space="preserve">Member Services</t>
  </si>
  <si>
    <t xml:space="preserve">Unit FTE</t>
  </si>
  <si>
    <t xml:space="preserve">ANZSIC sector (metadata only)</t>
  </si>
  <si>
    <t xml:space="preserve">K - Financial and Insurance Services</t>
  </si>
  <si>
    <t xml:space="preserve">Sub-sector</t>
  </si>
  <si>
    <t xml:space="preserve">Health insurance</t>
  </si>
  <si>
    <t xml:space="preserve">Size band</t>
  </si>
  <si>
    <t xml:space="preserve">200–1,000 FTE</t>
  </si>
  <si>
    <t xml:space="preserve">Unit type</t>
  </si>
  <si>
    <t xml:space="preserve">Customer-facing service</t>
  </si>
  <si>
    <t xml:space="preserve">Industry archetype  (drives within-component weights)</t>
  </si>
  <si>
    <t xml:space="preserve">Default</t>
  </si>
  <si>
    <t xml:space="preserve">Engagement date</t>
  </si>
  <si>
    <t xml:space="preserve">Lead analyst</t>
  </si>
  <si>
    <t xml:space="preserve">M. (PerformanceVP)</t>
  </si>
  <si>
    <t xml:space="preserve">Source Diagnostic reference (used by Intervention Design Workbook)</t>
  </si>
  <si>
    <t xml:space="preserve">PVP-2026-NWM-MS</t>
  </si>
  <si>
    <t xml:space="preserve">Tier Assignment</t>
  </si>
  <si>
    <t xml:space="preserve">Per sub-dimension: the measurement route used, source, vintage. Confidence is computed from vintage against the sub-dimension's cadence window.</t>
  </si>
  <si>
    <t xml:space="preserve">Sub-dimension</t>
  </si>
  <si>
    <t xml:space="preserve">Tier selector</t>
  </si>
  <si>
    <t xml:space="preserve">Source identifier</t>
  </si>
  <si>
    <t xml:space="preserve">Vintage (data date)</t>
  </si>
  <si>
    <t xml:space="preserve">Confidence</t>
  </si>
  <si>
    <t xml:space="preserve">Notes</t>
  </si>
  <si>
    <t xml:space="preserve">C1 - Skill</t>
  </si>
  <si>
    <t xml:space="preserve">Tier 1</t>
  </si>
  <si>
    <t xml:space="preserve">Workday Skills Cloud + internal 360</t>
  </si>
  <si>
    <t xml:space="preserve">Tech via T1, behavioural via T2 360</t>
  </si>
  <si>
    <t xml:space="preserve">C2 - Knowledge</t>
  </si>
  <si>
    <t xml:space="preserve">Sentrient + internal knowledge test</t>
  </si>
  <si>
    <t xml:space="preserve">C3 - Talent density</t>
  </si>
  <si>
    <t xml:space="preserve">Workday calibrated ratings</t>
  </si>
  <si>
    <t xml:space="preserve">Documented calibration</t>
  </si>
  <si>
    <t xml:space="preserve">C4 - Collective intelligence</t>
  </si>
  <si>
    <t xml:space="preserve">Tier 3</t>
  </si>
  <si>
    <t xml:space="preserve">CII (PerformanceVP)</t>
  </si>
  <si>
    <t xml:space="preserve">Unit-level CII</t>
  </si>
  <si>
    <t xml:space="preserve">C5 - Learning velocity</t>
  </si>
  <si>
    <t xml:space="preserve">LMS time-to-competence + adoption</t>
  </si>
  <si>
    <t xml:space="preserve">M1 - Engagement &amp; confidence</t>
  </si>
  <si>
    <t xml:space="preserve">Culture Amp engagement composite</t>
  </si>
  <si>
    <t xml:space="preserve">M2 - Psychological safety</t>
  </si>
  <si>
    <t xml:space="preserve">MI-2 module</t>
  </si>
  <si>
    <t xml:space="preserve">M3 - Autonomous motivation</t>
  </si>
  <si>
    <t xml:space="preserve">MI-3 module</t>
  </si>
  <si>
    <t xml:space="preserve">M4 - Purpose alignment</t>
  </si>
  <si>
    <t xml:space="preserve">MI-4 module</t>
  </si>
  <si>
    <t xml:space="preserve">TW1 - Pay equity (trip-wire)</t>
  </si>
  <si>
    <t xml:space="preserve">TW item</t>
  </si>
  <si>
    <t xml:space="preserve">TW2 - Fairness (trip-wire)</t>
  </si>
  <si>
    <t xml:space="preserve">TW3 - Basic conditions (trip-wire)</t>
  </si>
  <si>
    <t xml:space="preserve">Fires critical finding in sample</t>
  </si>
  <si>
    <t xml:space="preserve">O1 - Clarity &amp; decision rights</t>
  </si>
  <si>
    <t xml:space="preserve">OI-Clarity audit + survey</t>
  </si>
  <si>
    <t xml:space="preserve">Structural + perception</t>
  </si>
  <si>
    <t xml:space="preserve">O2 - Tools &amp; information</t>
  </si>
  <si>
    <t xml:space="preserve">OI-2 audit + survey</t>
  </si>
  <si>
    <t xml:space="preserve">O3 - Process &amp; workflow</t>
  </si>
  <si>
    <t xml:space="preserve">OI-3 audit + survey</t>
  </si>
  <si>
    <t xml:space="preserve">O4 - Resource adequacy</t>
  </si>
  <si>
    <t xml:space="preserve">OI-4 survey + capacity analysis</t>
  </si>
  <si>
    <t xml:space="preserve">O5 - Leadership enablement</t>
  </si>
  <si>
    <t xml:space="preserve">OI-5 survey</t>
  </si>
  <si>
    <t xml:space="preserve">Per-team, FTE-weighted</t>
  </si>
  <si>
    <t xml:space="preserve">S1 - Skill complementarity</t>
  </si>
  <si>
    <t xml:space="preserve">Reuses C1 skills data</t>
  </si>
  <si>
    <t xml:space="preserve">Analytical protocol</t>
  </si>
  <si>
    <t xml:space="preserve">S2 - Collaboration friction</t>
  </si>
  <si>
    <t xml:space="preserve">Workplace Analytics + TSI-2</t>
  </si>
  <si>
    <t xml:space="preserve">Telemetry + perception</t>
  </si>
  <si>
    <t xml:space="preserve">S3 - Conflict health</t>
  </si>
  <si>
    <t xml:space="preserve">TSI-3 survey</t>
  </si>
  <si>
    <t xml:space="preserve">DLP - Decision Latency Protocol</t>
  </si>
  <si>
    <t xml:space="preserve">DLP (PerformanceVP)</t>
  </si>
  <si>
    <t xml:space="preserve">Reported alongside O</t>
  </si>
  <si>
    <t xml:space="preserve">Capability Inputs (C1–C5)</t>
  </si>
  <si>
    <t xml:space="preserve">C = weighted mean of C1–C5 (weights on Composite Scoring tab). Active route follows the Tier Assignment selector.</t>
  </si>
  <si>
    <t xml:space="preserve">C1 - Skill (Type B counts → workbook computes coverage; Tier 3 = M-C1-MGR finished score)</t>
  </si>
  <si>
    <t xml:space="preserve">Tier 1/2 route - one row per role family (apply Tier-2 provider adjustment to 'Confirmed' before entry)</t>
  </si>
  <si>
    <t xml:space="preserve">Role family</t>
  </si>
  <si>
    <t xml:space="preserve">FTE</t>
  </si>
  <si>
    <t xml:space="preserve">Skills required (per person)</t>
  </si>
  <si>
    <t xml:space="preserve">Confirmed proficiencies (adjusted)</t>
  </si>
  <si>
    <t xml:space="preserve">Coverage ratio</t>
  </si>
  <si>
    <t xml:space="preserve">Family C1 score</t>
  </si>
  <si>
    <t xml:space="preserve">_FTEvalid</t>
  </si>
  <si>
    <t xml:space="preserve">_contrib</t>
  </si>
  <si>
    <t xml:space="preserve">Customer Service Reps</t>
  </si>
  <si>
    <t xml:space="preserve">Team Leaders</t>
  </si>
  <si>
    <t xml:space="preserve">Median unit tenure (months) - experience moderator</t>
  </si>
  <si>
    <t xml:space="preserve">Tenure moderator</t>
  </si>
  <si>
    <t xml:space="preserve">C1 score (Tier 1/2)</t>
  </si>
  <si>
    <t xml:space="preserve">Tier 3 route - M-C1-MGR module score (Type C, finished 0–100)</t>
  </si>
  <si>
    <t xml:space="preserve">C1 sub-dimension score</t>
  </si>
  <si>
    <t xml:space="preserve">C2 - Knowledge (Type B; criticality-weighted, coverage-adjusted)</t>
  </si>
  <si>
    <t xml:space="preserve">Knowledge domain</t>
  </si>
  <si>
    <t xml:space="preserve">Criticality (1–3)</t>
  </si>
  <si>
    <t xml:space="preserve">Mean domain score (0–100)</t>
  </si>
  <si>
    <t xml:space="preserve">Coverage %</t>
  </si>
  <si>
    <t xml:space="preserve">Cov-adj score</t>
  </si>
  <si>
    <t xml:space="preserve">_critvalid</t>
  </si>
  <si>
    <t xml:space="preserve">_weighted</t>
  </si>
  <si>
    <t xml:space="preserve">Product &amp; service knowledge</t>
  </si>
  <si>
    <t xml:space="preserve">Regulatory / compliance</t>
  </si>
  <si>
    <t xml:space="preserve">Systems &amp; procedures</t>
  </si>
  <si>
    <t xml:space="preserve">Critical-domain coverage check (need ≥1 criticality-3 at ≥60%)</t>
  </si>
  <si>
    <t xml:space="preserve">C2 sub-dimension score</t>
  </si>
  <si>
    <t xml:space="preserve">C3 - Talent density (Type B; enter calibrated band counts - Tier-2 cap-exceptional adjustment applied before entry)</t>
  </si>
  <si>
    <t xml:space="preserve">Band</t>
  </si>
  <si>
    <t xml:space="preserve">Count</t>
  </si>
  <si>
    <t xml:space="preserve">Band weight</t>
  </si>
  <si>
    <t xml:space="preserve">Band %</t>
  </si>
  <si>
    <t xml:space="preserve">5 - Exceptional</t>
  </si>
  <si>
    <t xml:space="preserve">4 - Exceeding</t>
  </si>
  <si>
    <t xml:space="preserve">3 - Meeting</t>
  </si>
  <si>
    <t xml:space="preserve">2 - Developing</t>
  </si>
  <si>
    <t xml:space="preserve">1 - Underperforming</t>
  </si>
  <si>
    <t xml:space="preserve">C3 sub-dimension score</t>
  </si>
  <si>
    <t xml:space="preserve">C4 - Collective Intelligence (Type A; CII 15 items → Clarity/Trust/Flow). Reverse items: CII-05, 10, 15</t>
  </si>
  <si>
    <t xml:space="preserve">Item</t>
  </si>
  <si>
    <t xml:space="preserve">Raw mean (1–5)</t>
  </si>
  <si>
    <t xml:space="preserve">Adjusted</t>
  </si>
  <si>
    <t xml:space="preserve">Sub-construct</t>
  </si>
  <si>
    <t xml:space="preserve">CII-01</t>
  </si>
  <si>
    <t xml:space="preserve">CII-02</t>
  </si>
  <si>
    <t xml:space="preserve">CII-03</t>
  </si>
  <si>
    <t xml:space="preserve">CII-04</t>
  </si>
  <si>
    <t xml:space="preserve">CII-05</t>
  </si>
  <si>
    <t xml:space="preserve">CII-06</t>
  </si>
  <si>
    <t xml:space="preserve">CII-07</t>
  </si>
  <si>
    <t xml:space="preserve">CII-08</t>
  </si>
  <si>
    <t xml:space="preserve">CII-09</t>
  </si>
  <si>
    <t xml:space="preserve">CII-10</t>
  </si>
  <si>
    <t xml:space="preserve">CII-11</t>
  </si>
  <si>
    <t xml:space="preserve">CII-12</t>
  </si>
  <si>
    <t xml:space="preserve">CII-13</t>
  </si>
  <si>
    <t xml:space="preserve">CII-14</t>
  </si>
  <si>
    <t xml:space="preserve">CII-15</t>
  </si>
  <si>
    <t xml:space="preserve">Response rate %</t>
  </si>
  <si>
    <t xml:space="preserve">Expertise Clarity</t>
  </si>
  <si>
    <t xml:space="preserve">Expertise Trust</t>
  </si>
  <si>
    <t xml:space="preserve">Expertise Flow</t>
  </si>
  <si>
    <t xml:space="preserve">C4 sub-dimension score</t>
  </si>
  <si>
    <t xml:space="preserve">C5 - Learning velocity (Type A/B indicators 0–100; or Type C M-C5-TL module)</t>
  </si>
  <si>
    <t xml:space="preserve">New-hire time-to-competence (0–100)</t>
  </si>
  <si>
    <t xml:space="preserve">Tool/process adoption (0–100)</t>
  </si>
  <si>
    <t xml:space="preserve">Project delivery cycle improvement (0–100)</t>
  </si>
  <si>
    <t xml:space="preserve">M-C5-TL module score (Type C, optional)</t>
  </si>
  <si>
    <t xml:space="preserve">C5 sub-dimension score</t>
  </si>
  <si>
    <t xml:space="preserve">Motivation Inputs (M1–M4 + trip-wires)</t>
  </si>
  <si>
    <t xml:space="preserve">M = weighted mean of M1–M4. Trip-wires are independent critical-finding overlays - NOT weighted into M.</t>
  </si>
  <si>
    <t xml:space="preserve">M1 - Engagement &amp; confidence (Tier 1/2 = platform composite Type C; Tier 3 = MI-1 survey Type A, MI1-04 reverse)</t>
  </si>
  <si>
    <t xml:space="preserve">Tier 1/2 - platform engagement composite (0–100, Type C)</t>
  </si>
  <si>
    <t xml:space="preserve">Tier 3 - MI-1 module (8 items)</t>
  </si>
  <si>
    <t xml:space="preserve">MI1-01</t>
  </si>
  <si>
    <t xml:space="preserve">MI1-02</t>
  </si>
  <si>
    <t xml:space="preserve">MI1-03</t>
  </si>
  <si>
    <t xml:space="preserve">MI1-04</t>
  </si>
  <si>
    <t xml:space="preserve">MI1-05</t>
  </si>
  <si>
    <t xml:space="preserve">MI1-06</t>
  </si>
  <si>
    <t xml:space="preserve">MI1-07</t>
  </si>
  <si>
    <t xml:space="preserve">MI1-08</t>
  </si>
  <si>
    <t xml:space="preserve">M1 score (Tier 3)</t>
  </si>
  <si>
    <t xml:space="preserve">M1 sub-dimension score</t>
  </si>
  <si>
    <t xml:space="preserve">M2 - Psychological safety (Type A; MI-2 5 items, MI2-05 reverse)</t>
  </si>
  <si>
    <t xml:space="preserve">MI2-01</t>
  </si>
  <si>
    <t xml:space="preserve">MI2-02</t>
  </si>
  <si>
    <t xml:space="preserve">MI2-03</t>
  </si>
  <si>
    <t xml:space="preserve">MI2-04</t>
  </si>
  <si>
    <t xml:space="preserve">MI2-05</t>
  </si>
  <si>
    <t xml:space="preserve">M2 sub-dimension score</t>
  </si>
  <si>
    <t xml:space="preserve">M3 - Autonomous motivation (Type A; MI-3 5 items, MI3-04 reverse)</t>
  </si>
  <si>
    <t xml:space="preserve">MI3-01</t>
  </si>
  <si>
    <t xml:space="preserve">MI3-02</t>
  </si>
  <si>
    <t xml:space="preserve">MI3-03</t>
  </si>
  <si>
    <t xml:space="preserve">MI3-04</t>
  </si>
  <si>
    <t xml:space="preserve">MI3-05</t>
  </si>
  <si>
    <t xml:space="preserve">M3 sub-dimension score</t>
  </si>
  <si>
    <t xml:space="preserve">M4 - Purpose alignment (Type A; MI-4 4 items, MI4-04 reverse)</t>
  </si>
  <si>
    <t xml:space="preserve">MI4-01</t>
  </si>
  <si>
    <t xml:space="preserve">MI4-02</t>
  </si>
  <si>
    <t xml:space="preserve">MI4-03</t>
  </si>
  <si>
    <t xml:space="preserve">MI4-04</t>
  </si>
  <si>
    <t xml:space="preserve">M4 sub-dimension score</t>
  </si>
  <si>
    <t xml:space="preserve">Trip-wires (independent critical-finding overlays; score = (mean−1)×25; flag if &lt;60)</t>
  </si>
  <si>
    <t xml:space="preserve">Trip-wire</t>
  </si>
  <si>
    <t xml:space="preserve">Mean (1–5)</t>
  </si>
  <si>
    <t xml:space="preserve">Score</t>
  </si>
  <si>
    <t xml:space="preserve">Flag</t>
  </si>
  <si>
    <t xml:space="preserve">TW1 - Pay equity</t>
  </si>
  <si>
    <t xml:space="preserve">TW2 - Fairness</t>
  </si>
  <si>
    <t xml:space="preserve">TW3 - Basic conditions</t>
  </si>
  <si>
    <t xml:space="preserve">Opportunity Inputs (O1–O5)</t>
  </si>
  <si>
    <t xml:space="preserve">O1–O3 are two-layer composites: structural (Type C module + analyst doc-review) + perception (Type A survey), with a &gt;15-point gap rule. O4 blends capacity + perception (no gap). O5 is per-team, FTE-weighted.</t>
  </si>
  <si>
    <t xml:space="preserve">O1 - Clarity &amp; decision rights  (structural 0.40·M-O1-LT + 0.30·role-arch + 0.30·M-O1-CASCADE)</t>
  </si>
  <si>
    <t xml:space="preserve">M-O1-LT decision-rights score (Type C)</t>
  </si>
  <si>
    <t xml:space="preserve">Role-architecture doc-review score (Type C)</t>
  </si>
  <si>
    <t xml:space="preserve">M-O1-CASCADE score (Type C)</t>
  </si>
  <si>
    <t xml:space="preserve">O1 structural</t>
  </si>
  <si>
    <t xml:space="preserve">Perception - OI1 (8 items; reverse OI1-03, OI1-06)</t>
  </si>
  <si>
    <t xml:space="preserve">OI1-01</t>
  </si>
  <si>
    <t xml:space="preserve">OI1-02</t>
  </si>
  <si>
    <t xml:space="preserve">OI1-03</t>
  </si>
  <si>
    <t xml:space="preserve">OI1-04</t>
  </si>
  <si>
    <t xml:space="preserve">OI1-05</t>
  </si>
  <si>
    <t xml:space="preserve">OI1-06</t>
  </si>
  <si>
    <t xml:space="preserve">OI1-07</t>
  </si>
  <si>
    <t xml:space="preserve">OI1-08</t>
  </si>
  <si>
    <t xml:space="preserve">O1 perception</t>
  </si>
  <si>
    <t xml:space="preserve">O1 gap (structural − perception)</t>
  </si>
  <si>
    <t xml:space="preserve">O1 gap flag</t>
  </si>
  <si>
    <t xml:space="preserve">O1 sub-dimension score</t>
  </si>
  <si>
    <t xml:space="preserve">O2 - Tools &amp; information  (structural 0.35·tool-inv + 0.40·M-O2-IA + 0.25·integration)</t>
  </si>
  <si>
    <t xml:space="preserve">Tool-inventory doc-review score (Type C)</t>
  </si>
  <si>
    <t xml:space="preserve">M-O2-IA information-access score (Type C)</t>
  </si>
  <si>
    <t xml:space="preserve">Integration doc-review score (Type C)</t>
  </si>
  <si>
    <t xml:space="preserve">O2 structural</t>
  </si>
  <si>
    <t xml:space="preserve">Perception - OI2 (4 items; reverse OI2-04)</t>
  </si>
  <si>
    <t xml:space="preserve">OI2-01</t>
  </si>
  <si>
    <t xml:space="preserve">OI2-02</t>
  </si>
  <si>
    <t xml:space="preserve">OI2-03</t>
  </si>
  <si>
    <t xml:space="preserve">OI2-04</t>
  </si>
  <si>
    <t xml:space="preserve">O2 perception</t>
  </si>
  <si>
    <t xml:space="preserve">O2 gap (structural − perception)</t>
  </si>
  <si>
    <t xml:space="preserve">O2 gap flag</t>
  </si>
  <si>
    <t xml:space="preserve">O2 sub-dimension score</t>
  </si>
  <si>
    <t xml:space="preserve">O3 - Process &amp; workflow  (structural = M-O3-PF; single component)</t>
  </si>
  <si>
    <t xml:space="preserve">M-O3-PF process-friction score (Type C)</t>
  </si>
  <si>
    <t xml:space="preserve">O3 structural</t>
  </si>
  <si>
    <t xml:space="preserve">Perception - OI3 (5 items; reverse OI3-05)</t>
  </si>
  <si>
    <t xml:space="preserve">OI3-01</t>
  </si>
  <si>
    <t xml:space="preserve">OI3-02</t>
  </si>
  <si>
    <t xml:space="preserve">OI3-03</t>
  </si>
  <si>
    <t xml:space="preserve">OI3-04</t>
  </si>
  <si>
    <t xml:space="preserve">OI3-05</t>
  </si>
  <si>
    <t xml:space="preserve">O3 perception</t>
  </si>
  <si>
    <t xml:space="preserve">O3 gap (structural − perception)</t>
  </si>
  <si>
    <t xml:space="preserve">O3 gap flag</t>
  </si>
  <si>
    <t xml:space="preserve">O3 sub-dimension score</t>
  </si>
  <si>
    <t xml:space="preserve">O4 - Resource adequacy  (capacity analysis + perception, blended directly; no gap rule)</t>
  </si>
  <si>
    <t xml:space="preserve">Capacity-analysis score (Type C, 0–100)</t>
  </si>
  <si>
    <t xml:space="preserve">Perception - OI4 (3 items; reverse OI4-03)</t>
  </si>
  <si>
    <t xml:space="preserve">OI4-01</t>
  </si>
  <si>
    <t xml:space="preserve">OI4-02</t>
  </si>
  <si>
    <t xml:space="preserve">OI4-03</t>
  </si>
  <si>
    <t xml:space="preserve">O4 perception</t>
  </si>
  <si>
    <t xml:space="preserve">O4 sub-dimension score</t>
  </si>
  <si>
    <t xml:space="preserve">O5 - Leadership enablement  (per-team OI-5 score, FTE-weighted to unit)</t>
  </si>
  <si>
    <t xml:space="preserve">Team / manager</t>
  </si>
  <si>
    <t xml:space="preserve">Team FTE</t>
  </si>
  <si>
    <t xml:space="preserve">O5 score (0–100)</t>
  </si>
  <si>
    <t xml:space="preserve">Manager A</t>
  </si>
  <si>
    <t xml:space="preserve">Manager B</t>
  </si>
  <si>
    <t xml:space="preserve">Manager C</t>
  </si>
  <si>
    <t xml:space="preserve">Manager D</t>
  </si>
  <si>
    <t xml:space="preserve">O5 sub-dimension score</t>
  </si>
  <si>
    <t xml:space="preserve">Synergy Inputs (S1–S3)</t>
  </si>
  <si>
    <t xml:space="preserve">S_internal = 0.30·S1 + 0.40·S2 + 0.30·S3 (computed on Composite Scoring tab). S2 telemetry is converted in-workbook via the band rules.</t>
  </si>
  <si>
    <t xml:space="preserve">S1 - Skill complementarity  (S1 = 0.40·breadth + 0.35·depth + 0.25·distribution)</t>
  </si>
  <si>
    <t xml:space="preserve">Coverage breadth (0–100, Type C)</t>
  </si>
  <si>
    <t xml:space="preserve">Coverage depth (0–100, Type C)</t>
  </si>
  <si>
    <t xml:space="preserve">Distribution score (0–100, Type C)</t>
  </si>
  <si>
    <t xml:space="preserve">S1 sub-dimension score</t>
  </si>
  <si>
    <t xml:space="preserve">S2 - Collaboration friction  (telemetry band-converted + TSI-2 perception; 0.5/0.5 where both exist)</t>
  </si>
  <si>
    <t xml:space="preserve">Telemetry indicator</t>
  </si>
  <si>
    <t xml:space="preserve">Raw value</t>
  </si>
  <si>
    <t xml:space="preserve">Converted (0–100)</t>
  </si>
  <si>
    <t xml:space="preserve">Meeting hours/week per IC</t>
  </si>
  <si>
    <t xml:space="preserve">Meeting hours/week per manager</t>
  </si>
  <si>
    <t xml:space="preserve">Fragmented time ratio (%)</t>
  </si>
  <si>
    <t xml:space="preserve">After-hours collaboration (hrs/wk/person)</t>
  </si>
  <si>
    <t xml:space="preserve">Behavioural composite</t>
  </si>
  <si>
    <t xml:space="preserve">Perception - TSI-2 (3 items; reverse TSI2-03)</t>
  </si>
  <si>
    <t xml:space="preserve">TSI2-01</t>
  </si>
  <si>
    <t xml:space="preserve">TSI2-02</t>
  </si>
  <si>
    <t xml:space="preserve">TSI2-03</t>
  </si>
  <si>
    <t xml:space="preserve">S2 perception</t>
  </si>
  <si>
    <t xml:space="preserve">S2 survey-behavioural gap</t>
  </si>
  <si>
    <t xml:space="preserve">S2 gap flag</t>
  </si>
  <si>
    <t xml:space="preserve">S2 sub-dimension score</t>
  </si>
  <si>
    <t xml:space="preserve">S3 - Conflict health  (TSI-3 5 items; reverse TSI3-04, TSI3-05)</t>
  </si>
  <si>
    <t xml:space="preserve">TSI3-01</t>
  </si>
  <si>
    <t xml:space="preserve">TSI3-02</t>
  </si>
  <si>
    <t xml:space="preserve">TSI3-03</t>
  </si>
  <si>
    <t xml:space="preserve">TSI3-04</t>
  </si>
  <si>
    <t xml:space="preserve">TSI3-05</t>
  </si>
  <si>
    <t xml:space="preserve">S3 sub-dimension score</t>
  </si>
  <si>
    <t xml:space="preserve">False-consensus flag</t>
  </si>
  <si>
    <t xml:space="preserve">Decision Latency Protocol (DLP)</t>
  </si>
  <si>
    <t xml:space="preserve">Per-decision latency converted to a 0-100 score against seeded class norms; DLS = 0.40 Operational + 0.35 Tactical + 0.25 Strategic. Reported alongside O, not in P.</t>
  </si>
  <si>
    <t xml:space="preserve">Decision ID</t>
  </si>
  <si>
    <t xml:space="preserve">Class</t>
  </si>
  <si>
    <t xml:space="preserve">Latency (days)</t>
  </si>
  <si>
    <t xml:space="preserve">Latency score</t>
  </si>
  <si>
    <t xml:space="preserve">Bottleneck flag</t>
  </si>
  <si>
    <t xml:space="preserve">Outcome quality</t>
  </si>
  <si>
    <t xml:space="preserve">Decision description</t>
  </si>
  <si>
    <t xml:space="preserve">OP-01</t>
  </si>
  <si>
    <t xml:space="preserve">Operational</t>
  </si>
  <si>
    <t xml:space="preserve">OP-02</t>
  </si>
  <si>
    <t xml:space="preserve">OP-03</t>
  </si>
  <si>
    <t xml:space="preserve">OP-04</t>
  </si>
  <si>
    <t xml:space="preserve">OP-05</t>
  </si>
  <si>
    <t xml:space="preserve">OP-06</t>
  </si>
  <si>
    <t xml:space="preserve">OP-07</t>
  </si>
  <si>
    <t xml:space="preserve">OP-08</t>
  </si>
  <si>
    <t xml:space="preserve">OP-09</t>
  </si>
  <si>
    <t xml:space="preserve">OP-10</t>
  </si>
  <si>
    <t xml:space="preserve">OP-11</t>
  </si>
  <si>
    <t xml:space="preserve">OP-12</t>
  </si>
  <si>
    <t xml:space="preserve">OP-13</t>
  </si>
  <si>
    <t xml:space="preserve">OP-14</t>
  </si>
  <si>
    <t xml:space="preserve">OP-15</t>
  </si>
  <si>
    <t xml:space="preserve">OP-16</t>
  </si>
  <si>
    <t xml:space="preserve">OP-17</t>
  </si>
  <si>
    <t xml:space="preserve">OP-18</t>
  </si>
  <si>
    <t xml:space="preserve">OP-19</t>
  </si>
  <si>
    <t xml:space="preserve">OP-20</t>
  </si>
  <si>
    <t xml:space="preserve">TAC-01</t>
  </si>
  <si>
    <t xml:space="preserve">Tactical</t>
  </si>
  <si>
    <t xml:space="preserve">TAC-02</t>
  </si>
  <si>
    <t xml:space="preserve">TAC-03</t>
  </si>
  <si>
    <t xml:space="preserve">TAC-04</t>
  </si>
  <si>
    <t xml:space="preserve">TAC-05</t>
  </si>
  <si>
    <t xml:space="preserve">TAC-06</t>
  </si>
  <si>
    <t xml:space="preserve">TAC-07</t>
  </si>
  <si>
    <t xml:space="preserve">TAC-08</t>
  </si>
  <si>
    <t xml:space="preserve">TAC-09</t>
  </si>
  <si>
    <t xml:space="preserve">TAC-10</t>
  </si>
  <si>
    <t xml:space="preserve">TAC-11</t>
  </si>
  <si>
    <t xml:space="preserve">TAC-12</t>
  </si>
  <si>
    <t xml:space="preserve">TAC-13</t>
  </si>
  <si>
    <t xml:space="preserve">TAC-14</t>
  </si>
  <si>
    <t xml:space="preserve">TAC-15</t>
  </si>
  <si>
    <t xml:space="preserve">ST-01</t>
  </si>
  <si>
    <t xml:space="preserve">Strategic</t>
  </si>
  <si>
    <t xml:space="preserve">ST-02</t>
  </si>
  <si>
    <t xml:space="preserve">ST-03</t>
  </si>
  <si>
    <t xml:space="preserve">ST-04</t>
  </si>
  <si>
    <t xml:space="preserve">ST-05</t>
  </si>
  <si>
    <t xml:space="preserve">ST-06</t>
  </si>
  <si>
    <t xml:space="preserve">ST-07</t>
  </si>
  <si>
    <t xml:space="preserve">ST-08</t>
  </si>
  <si>
    <t xml:space="preserve">Operational DLS</t>
  </si>
  <si>
    <t xml:space="preserve">Sample</t>
  </si>
  <si>
    <t xml:space="preserve">Tactical DLS</t>
  </si>
  <si>
    <t xml:space="preserve">Strategic DLS</t>
  </si>
  <si>
    <t xml:space="preserve">Overall DLS</t>
  </si>
  <si>
    <t xml:space="preserve">Behavioural Triangulators</t>
  </si>
  <si>
    <t xml:space="preserve">Each triangulator is converted to 0-100 against benchmark norms BEFORE entry (Type C). The behavioural composite is compared to the M1 survey score; it does not average into M1.</t>
  </si>
  <si>
    <t xml:space="preserve">Triangulator</t>
  </si>
  <si>
    <t xml:space="preserve">Raw value (reference)</t>
  </si>
  <si>
    <t xml:space="preserve">Converted score (0-100)</t>
  </si>
  <si>
    <t xml:space="preserve">Voluntary turnover (12-mo rolling)</t>
  </si>
  <si>
    <t xml:space="preserve">14%</t>
  </si>
  <si>
    <t xml:space="preserve">Unplanned absence (days/FTE)</t>
  </si>
  <si>
    <t xml:space="preserve">5.2</t>
  </si>
  <si>
    <t xml:space="preserve">eNPS</t>
  </si>
  <si>
    <t xml:space="preserve">22</t>
  </si>
  <si>
    <t xml:space="preserve">Goal achievement rate</t>
  </si>
  <si>
    <t xml:space="preserve">78%</t>
  </si>
  <si>
    <t xml:space="preserve">M1 survey-behavioural gap</t>
  </si>
  <si>
    <t xml:space="preserve">M1 gap flag</t>
  </si>
  <si>
    <t xml:space="preserve">Sector Classification (metadata for internal comparison)</t>
  </si>
  <si>
    <t xml:space="preserve">Metadata only; not in the equation. Mirrors Engagement Metadata. No external benchmark is applied.</t>
  </si>
  <si>
    <t xml:space="preserve">Client</t>
  </si>
  <si>
    <t xml:space="preserve">Unit</t>
  </si>
  <si>
    <t xml:space="preserve">ANZSIC division</t>
  </si>
  <si>
    <t xml:space="preserve">Internal comparison set</t>
  </si>
  <si>
    <t xml:space="preserve">Comparison percentile (where cell n&gt;=15)</t>
  </si>
  <si>
    <t xml:space="preserve">No comparison applied - set not yet large enough</t>
  </si>
  <si>
    <t xml:space="preserve">Composite Scoring</t>
  </si>
  <si>
    <t xml:space="preserve">Calculated. Component weights follow the selected archetype and are normalised by the sum of active weights (this also handles any 'insufficient data' sub-dimension). P = S x (C^0.35 x M^0.40 x O^0.25).</t>
  </si>
  <si>
    <t xml:space="preserve">Sub-dim</t>
  </si>
  <si>
    <t xml:space="preserve">Weight</t>
  </si>
  <si>
    <t xml:space="preserve">Avail</t>
  </si>
  <si>
    <t xml:space="preserve">Wt x Score</t>
  </si>
  <si>
    <t xml:space="preserve">Wt x Avail</t>
  </si>
  <si>
    <t xml:space="preserve">Capability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</si>
  <si>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</si>
  <si>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</si>
  <si>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</si>
  <si>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</si>
  <si>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</si>
  <si>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Motivation</t>
  </si>
  <si>
    <t xml:space="preserve">M1</t>
  </si>
  <si>
    <t xml:space="preserve">M2</t>
  </si>
  <si>
    <t xml:space="preserve">M3</t>
  </si>
  <si>
    <t xml:space="preserve">M4</t>
  </si>
  <si>
    <t xml:space="preserve">Opportunity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</si>
  <si>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</si>
  <si>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</si>
  <si>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</si>
  <si>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</si>
  <si>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</si>
  <si>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Synergy</t>
  </si>
  <si>
    <t xml:space="preserve">S1</t>
  </si>
  <si>
    <t xml:space="preserve">S2</t>
  </si>
  <si>
    <t xml:space="preserve">S3</t>
  </si>
  <si>
    <t xml:space="preserve">Capability (C)</t>
  </si>
  <si>
    <t xml:space="preserve">Motivation (M)</t>
  </si>
  <si>
    <t xml:space="preserve">Opportunity (O)</t>
  </si>
  <si>
    <t xml:space="preserve">Synergy internal</t>
  </si>
  <si>
    <t xml:space="preserve">Synergy coefficient (S)</t>
  </si>
  <si>
    <t xml:space="preserve">P score</t>
  </si>
  <si>
    <t xml:space="preserve">Binding constraints - top 6 by priority</t>
  </si>
  <si>
    <t xml:space="preserve">Rank</t>
  </si>
  <si>
    <t xml:space="preserve">Component</t>
  </si>
  <si>
    <t xml:space="preserve">Raw score</t>
  </si>
  <si>
    <t xml:space="preserve">Realistic P gain</t>
  </si>
  <si>
    <t xml:space="preserve">Priority</t>
  </si>
  <si>
    <t xml:space="preserve">Priority ranks each C/M/O sub-dimension by the realistic gain in P from a bounded, diminishing-returns improvement (rho x (S_cap - score)), weighted by how far the score sits below the unit's own average. Realistic P gain is the P-point gain itself; the ordering is by Priority, so a high-leverage strength can show a larger gain yet rank lower. Synergy is a coefficient, not a candidate; Decision Latency and the trip-wires are reported separately.</t>
  </si>
  <si>
    <t xml:space="preserve">Binding component</t>
  </si>
  <si>
    <t xml:space="preserve">Binding constraint statement</t>
  </si>
  <si>
    <t xml:space="preserve">Trip-wire override</t>
  </si>
  <si>
    <t xml:space="preserve">Validation</t>
  </si>
  <si>
    <t xml:space="preserve">S in [0.85, 1.15]</t>
  </si>
  <si>
    <t xml:space="preserve">P typical 45-80 (warn only)</t>
  </si>
  <si>
    <t xml:space="preserve">P confidence (worst contributing band)</t>
  </si>
  <si>
    <t xml:space="preserve">Methodology Footer</t>
  </si>
  <si>
    <t xml:space="preserve">Calculated. Auto-populates from the other tabs; the audit trail for the report.</t>
  </si>
  <si>
    <t xml:space="preserve">Engagement</t>
  </si>
  <si>
    <t xml:space="preserve">Client / Unit</t>
  </si>
  <si>
    <t xml:space="preserve">Archetype applied</t>
  </si>
  <si>
    <t xml:space="preserve">Tier mix</t>
  </si>
  <si>
    <t xml:space="preserve">Tier 1 sub-dims</t>
  </si>
  <si>
    <t xml:space="preserve">Tier 2 sub-dims</t>
  </si>
  <si>
    <t xml:space="preserve">Tier 3 sub-dims</t>
  </si>
  <si>
    <t xml:space="preserve">Composite tier rating</t>
  </si>
  <si>
    <t xml:space="preserve">Overall P confidence</t>
  </si>
  <si>
    <t xml:space="preserve">Gap flags fired</t>
  </si>
  <si>
    <t xml:space="preserve">M1 survey-behavioural</t>
  </si>
  <si>
    <t xml:space="preserve">False-consensus</t>
  </si>
  <si>
    <t xml:space="preserve">S2 telemetry-perception</t>
  </si>
  <si>
    <t xml:space="preserve">O1 audit-perception</t>
  </si>
  <si>
    <t xml:space="preserve">O2 audit-perception</t>
  </si>
  <si>
    <t xml:space="preserve">O3 audit-perception</t>
  </si>
  <si>
    <t xml:space="preserve">Critical findings</t>
  </si>
  <si>
    <t xml:space="preserve">Trip-wire breaches</t>
  </si>
  <si>
    <t xml:space="preserve">Internal comparison</t>
  </si>
  <si>
    <t xml:space="preserve">Response rates (per construct)</t>
  </si>
  <si>
    <t xml:space="preserve">Exclusions summary</t>
  </si>
  <si>
    <t xml:space="preserve">Non-standard data definitions</t>
  </si>
  <si>
    <t xml:space="preserve">Report Data (paste-ready)</t>
  </si>
  <si>
    <t xml:space="preserve">Calculated. The hand-off contract for the Unit Report (Word) and Client Report (PowerPoint).</t>
  </si>
  <si>
    <t xml:space="preserve">Headline</t>
  </si>
  <si>
    <t xml:space="preserve">P confidence</t>
  </si>
  <si>
    <t xml:space="preserve">Synergy (S)</t>
  </si>
  <si>
    <t xml:space="preserve">Binding constraint</t>
  </si>
  <si>
    <t xml:space="preserve">Sub-dimension scores</t>
  </si>
  <si>
    <t xml:space="preserve">Decision Latency</t>
  </si>
  <si>
    <t xml:space="preserve">DLS overall</t>
  </si>
  <si>
    <t xml:space="preserve">DLS operational</t>
  </si>
  <si>
    <t xml:space="preserve">DLS tactical</t>
  </si>
  <si>
    <t xml:space="preserve">DLS strategic</t>
  </si>
  <si>
    <t xml:space="preserve">Trip-wires</t>
  </si>
  <si>
    <t xml:space="preserve">TW1 Pay equity</t>
  </si>
  <si>
    <t xml:space="preserve">TW2 Fairness</t>
  </si>
  <si>
    <t xml:space="preserve">TW3 Basic conditions</t>
  </si>
  <si>
    <t xml:space="preserve">Synergy internal composite</t>
  </si>
  <si>
    <t xml:space="preserve">S internal (0-100)</t>
  </si>
  <si>
    <t xml:space="preserve">C4 detail (CII sub-scores)</t>
  </si>
  <si>
    <t xml:space="preserve">Opportunity structural / perception detail</t>
  </si>
  <si>
    <t xml:space="preserve">Structural</t>
  </si>
  <si>
    <t xml:space="preserve">Perception</t>
  </si>
  <si>
    <t xml:space="preserve">Gap</t>
  </si>
  <si>
    <t xml:space="preserve">Gap flag</t>
  </si>
  <si>
    <t xml:space="preserve">Binding constraint detail</t>
  </si>
  <si>
    <t xml:space="preserve">Priority ranking (top six)</t>
  </si>
  <si>
    <t xml:space="preserve">Diagnostic findings (gap flags and criticals)</t>
  </si>
  <si>
    <t xml:space="preserve">M1 survey-behavioural gap flag</t>
  </si>
  <si>
    <t xml:space="preserve">Critical findings (consolidated)</t>
  </si>
  <si>
    <t xml:space="preserve">Decision latency detail</t>
  </si>
  <si>
    <t xml:space="preserve">DLP sample N</t>
  </si>
  <si>
    <t xml:space="preserve">Longest-latency decisions (top 5)</t>
  </si>
  <si>
    <t xml:space="preserve">Description</t>
  </si>
  <si>
    <t xml:space="preserve">Identity (mirrored from Engagement Metadata)</t>
  </si>
  <si>
    <t xml:space="preserve">Sector</t>
  </si>
  <si>
    <t xml:space="preserve">Archetype</t>
  </si>
  <si>
    <t xml:space="preserve">Diagnostic reference</t>
  </si>
  <si>
    <t xml:space="preserve">Cross-unit comparison contributory row</t>
  </si>
  <si>
    <t xml:space="preserve">P</t>
  </si>
  <si>
    <t xml:space="preserve">P band</t>
  </si>
  <si>
    <t xml:space="preserve">C</t>
  </si>
  <si>
    <t xml:space="preserve">M</t>
  </si>
  <si>
    <t xml:space="preserve">O</t>
  </si>
  <si>
    <t xml:space="preserve">S</t>
  </si>
  <si>
    <t xml:space="preserve">Top binding sub-dim</t>
  </si>
  <si>
    <t xml:space="preserve">Reference constants (hidden) - read by formulas across the workbook</t>
  </si>
  <si>
    <t xml:space="preserve">Component-level exponents (constant across all engagements)</t>
  </si>
  <si>
    <t xml:space="preserve">Binding-constraint parameters</t>
  </si>
  <si>
    <t xml:space="preserve">alpha_C</t>
  </si>
  <si>
    <t xml:space="preserve">S_cap</t>
  </si>
  <si>
    <t xml:space="preserve">beta_M</t>
  </si>
  <si>
    <t xml:space="preserve">rho_gap_closure</t>
  </si>
  <si>
    <t xml:space="preserve">gamma_O</t>
  </si>
  <si>
    <t xml:space="preserve">tau_rel_width</t>
  </si>
  <si>
    <t xml:space="preserve">S_floor</t>
  </si>
  <si>
    <t xml:space="preserve">S_range</t>
  </si>
  <si>
    <t xml:space="preserve">DLP_w_operational</t>
  </si>
  <si>
    <t xml:space="preserve">DLP_w_tactical</t>
  </si>
  <si>
    <t xml:space="preserve">DLP_w_strategic</t>
  </si>
  <si>
    <t xml:space="preserve">Within-component sub-dimension weights by archetype (non-Default sets are normalised in the composite formulas; see note)</t>
  </si>
  <si>
    <t xml:space="preserve">Knowledge-intensive</t>
  </si>
  <si>
    <t xml:space="preserve">Operations-heavy</t>
  </si>
  <si>
    <t xml:space="preserve">Public sector / regulated</t>
  </si>
  <si>
    <t xml:space="preserve">Healthcare</t>
  </si>
  <si>
    <t xml:space="preserve">DLP class norm percentiles (days) - seeded reference set; confirm/populate from portfolio data</t>
  </si>
  <si>
    <t xml:space="preserve">p25</t>
  </si>
  <si>
    <t xml:space="preserve">p50</t>
  </si>
  <si>
    <t xml:space="preserve">p75</t>
  </si>
  <si>
    <t xml:space="preserve">p90</t>
  </si>
  <si>
    <t xml:space="preserve">Confidence decay thresholds (months since vintage)</t>
  </si>
  <si>
    <t xml:space="preserve">High&lt;=</t>
  </si>
  <si>
    <t xml:space="preserve">Med&lt;=</t>
  </si>
  <si>
    <t xml:space="preserve">TW1</t>
  </si>
  <si>
    <t xml:space="preserve">TW2</t>
  </si>
  <si>
    <t xml:space="preserve">TW3</t>
  </si>
  <si>
    <t xml:space="preserve">DLP</t>
  </si>
  <si>
    <t xml:space="preserve">Reverse-scored items (workbook applies 6 - mean):</t>
  </si>
  <si>
    <t xml:space="preserve">CII-05, CII-10, CII-15, MI1-04, MI2-05, MI3-04, MI4-04, OI1-03, OI1-06, OI2-04, OI3-05, OI4-03, TSI2-03, TSI3-04, TSI3-05</t>
  </si>
  <si>
    <t xml:space="preserve">Analyst Evidence (Narrative Inputs)</t>
  </si>
  <si>
    <t xml:space="preserve">Record only what the numbers cannot say. Keep it factual and anonymised. Leave a field blank where there is nothing to add; a blank field tells the report build to mark an analyst-input placeholder rather than invent. Nothing here feeds a score or is printed verbatim.</t>
  </si>
  <si>
    <t xml:space="preserve">Field</t>
  </si>
  <si>
    <t xml:space="preserve">Your notes (input)</t>
  </si>
  <si>
    <t xml:space="preserve">What to capture</t>
  </si>
  <si>
    <t xml:space="preserve">Engagement context</t>
  </si>
  <si>
    <t xml:space="preserve">The client objective for the diagnostic, and any situation the numbers cannot show (restructure, system migration, new leader, recent event).</t>
  </si>
  <si>
    <t xml:space="preserve">Capability observations</t>
  </si>
  <si>
    <t xml:space="preserve">For the C sub-dimensions that carry signal, what was seen behind the score.</t>
  </si>
  <si>
    <t xml:space="preserve">Motivation observations</t>
  </si>
  <si>
    <t xml:space="preserve">The same for M, including anything behind a trip-wire reading. Factual only; no legal advice.</t>
  </si>
  <si>
    <t xml:space="preserve">Opportunity observations</t>
  </si>
  <si>
    <t xml:space="preserve">The same for O, with attention to any fired audit-perception gap.</t>
  </si>
  <si>
    <t xml:space="preserve">Synergy observations</t>
  </si>
  <si>
    <t xml:space="preserve">The same for S.</t>
  </si>
  <si>
    <t xml:space="preserve">Decision-latency context</t>
  </si>
  <si>
    <t xml:space="preserve">The pattern behind the latency numbers, beyond the per-decision descriptions on the DLP tab.</t>
  </si>
  <si>
    <t xml:space="preserve">Why the constraint binds</t>
  </si>
  <si>
    <t xml:space="preserve">The analyst read, in this unit terms, of why the top-ranked sub-dimension is the constraint.</t>
  </si>
  <si>
    <t xml:space="preserve">Intervention feasibility</t>
  </si>
  <si>
    <t xml:space="preserve">Any client-specific constraint on what is feasible, to keep recommendations realistic.</t>
  </si>
  <si>
    <t xml:space="preserve">Any client-specific data definition to record in the methodology footer.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</si>
</sst>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yyyy\-mm\-dd"/>
    <numFmt numFmtId="167" formatCode="0.000"/>
    <numFmt numFmtId="168" formatCode="0.0"/>
    <numFmt numFmtId="169" formatCode="0.00"/>
    <numFmt numFmtId="170" formatCode="0%"/>
    <numFmt numFmtId="171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2"/>
      <name val="Arial"/>
      <family val="0"/>
      <charset val="1"/>
    </font>
    <font>
      <i val="true"/>
      <sz val="11"/>
      <color rgb="FF5C667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C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2"/>
      <name val="Arial"/>
      <family val="0"/>
      <charset val="1"/>
    </font>
    <font>
      <i val="true"/>
      <sz val="9"/>
      <color rgb="FF5C66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name val="Arial"/>
      <family val="2"/>
    </font>
    <font>
      <b val="true"/>
      <sz val="11"/>
      <color rgb="FF1F3A52"/>
      <name val="Arial"/>
      <family val="0"/>
      <charset val="1"/>
    </font>
    <font>
      <sz val="11"/>
      <color rgb="FF5C6670"/>
      <name val="Arial"/>
      <family val="0"/>
      <charset val="1"/>
    </font>
    <font>
      <b val="true"/>
      <sz val="13"/>
      <color rgb="FF1F3A5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B89E6E"/>
        <bgColor rgb="FFC0C0C0"/>
      </patternFill>
    </fill>
    <fill>
      <patternFill patternType="solid">
        <fgColor rgb="FFFFF6D9"/>
        <bgColor rgb="FFFFF7D6"/>
      </patternFill>
    </fill>
    <fill>
      <patternFill patternType="solid">
        <fgColor rgb="FFF4F5F6"/>
        <bgColor rgb="FFFFFFFF"/>
      </patternFill>
    </fill>
    <fill>
      <patternFill patternType="solid">
        <fgColor rgb="FF1F3A52"/>
        <bgColor rgb="FF003366"/>
      </patternFill>
    </fill>
    <fill>
      <patternFill patternType="solid">
        <fgColor rgb="FF5C6670"/>
        <bgColor rgb="FF808080"/>
      </patternFill>
    </fill>
    <fill>
      <patternFill patternType="solid">
        <fgColor rgb="FFFFF7D6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7DA"/>
      </left>
      <right style="thin">
        <color rgb="FFD5D7DA"/>
      </right>
      <top style="thin">
        <color rgb="FFD5D7DA"/>
      </top>
      <bottom style="thin">
        <color rgb="FFD5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7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7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F4F5F6"/>
      <rgbColor rgb="FF660066"/>
      <rgbColor rgb="FFFF8080"/>
      <rgbColor rgb="FF0066CC"/>
      <rgbColor rgb="FFD5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6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670"/>
      <rgbColor rgb="FFB89E6E"/>
      <rgbColor rgb="FF003366"/>
      <rgbColor rgb="FF339966"/>
      <rgbColor rgb="FF003300"/>
      <rgbColor rgb="FF1A1A1A"/>
      <rgbColor rgb="FF993300"/>
      <rgbColor rgb="FF993366"/>
      <rgbColor rgb="FF333399"/>
      <rgbColor rgb="FF1F3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26.2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7" t="s">
        <v>5</v>
      </c>
      <c r="E5" s="7"/>
    </row>
    <row r="6" customFormat="false" ht="15" hidden="false" customHeight="true" outlineLevel="0" collapsed="false">
      <c r="A6" s="8" t="s">
        <v>6</v>
      </c>
      <c r="B6" s="8"/>
      <c r="C6" s="8"/>
      <c r="D6" s="8"/>
      <c r="E6" s="8"/>
    </row>
    <row r="7" customFormat="false" ht="15" hidden="false" customHeight="true" outlineLevel="0" collapsed="false">
      <c r="A7" s="8" t="s">
        <v>7</v>
      </c>
      <c r="B7" s="8"/>
      <c r="C7" s="8"/>
      <c r="D7" s="8"/>
      <c r="E7" s="8"/>
    </row>
    <row r="8" customFormat="false" ht="15" hidden="false" customHeight="true" outlineLevel="0" collapsed="false">
      <c r="A8" s="8" t="s">
        <v>8</v>
      </c>
      <c r="B8" s="8"/>
      <c r="C8" s="8"/>
      <c r="D8" s="8"/>
      <c r="E8" s="8"/>
    </row>
    <row r="10" customFormat="false" ht="15" hidden="false" customHeight="true" outlineLevel="0" collapsed="false">
      <c r="A10" s="9" t="s">
        <v>9</v>
      </c>
      <c r="B10" s="9"/>
      <c r="C10" s="9"/>
      <c r="D10" s="9"/>
      <c r="E10" s="9"/>
    </row>
    <row r="11" customFormat="false" ht="15" hidden="false" customHeight="true" outlineLevel="0" collapsed="false">
      <c r="A11" s="10" t="s">
        <v>10</v>
      </c>
      <c r="B11" s="10"/>
      <c r="C11" s="10"/>
      <c r="D11" s="5" t="s">
        <v>11</v>
      </c>
      <c r="E11" s="5"/>
    </row>
    <row r="12" customFormat="false" ht="15" hidden="false" customHeight="true" outlineLevel="0" collapsed="false">
      <c r="A12" s="10" t="s">
        <v>12</v>
      </c>
      <c r="B12" s="10"/>
      <c r="C12" s="10"/>
      <c r="D12" s="5" t="s">
        <v>13</v>
      </c>
      <c r="E12" s="5"/>
    </row>
    <row r="13" customFormat="false" ht="15" hidden="false" customHeight="true" outlineLevel="0" collapsed="false">
      <c r="A13" s="10" t="s">
        <v>14</v>
      </c>
      <c r="B13" s="10"/>
      <c r="C13" s="10"/>
      <c r="D13" s="11" t="n">
        <v>60</v>
      </c>
      <c r="E13" s="11"/>
    </row>
    <row r="14" customFormat="false" ht="15" hidden="false" customHeight="true" outlineLevel="0" collapsed="false">
      <c r="A14" s="10" t="s">
        <v>15</v>
      </c>
      <c r="B14" s="10"/>
      <c r="C14" s="10"/>
      <c r="D14" s="5" t="s">
        <v>16</v>
      </c>
      <c r="E14" s="5"/>
    </row>
    <row r="15" customFormat="false" ht="15" hidden="false" customHeight="true" outlineLevel="0" collapsed="false">
      <c r="A15" s="10" t="s">
        <v>17</v>
      </c>
      <c r="B15" s="10"/>
      <c r="C15" s="10"/>
      <c r="D15" s="5" t="s">
        <v>18</v>
      </c>
      <c r="E15" s="5"/>
    </row>
    <row r="16" customFormat="false" ht="15" hidden="false" customHeight="true" outlineLevel="0" collapsed="false">
      <c r="A16" s="10" t="s">
        <v>19</v>
      </c>
      <c r="B16" s="10"/>
      <c r="C16" s="10"/>
      <c r="D16" s="5" t="s">
        <v>20</v>
      </c>
      <c r="E16" s="5"/>
    </row>
    <row r="17" customFormat="false" ht="15" hidden="false" customHeight="true" outlineLevel="0" collapsed="false">
      <c r="A17" s="10" t="s">
        <v>21</v>
      </c>
      <c r="B17" s="10"/>
      <c r="C17" s="10"/>
      <c r="D17" s="5" t="s">
        <v>22</v>
      </c>
      <c r="E17" s="5"/>
    </row>
    <row r="18" customFormat="false" ht="15" hidden="false" customHeight="true" outlineLevel="0" collapsed="false">
      <c r="A18" s="10" t="s">
        <v>23</v>
      </c>
      <c r="B18" s="10"/>
      <c r="C18" s="10"/>
      <c r="D18" s="5" t="s">
        <v>24</v>
      </c>
      <c r="E18" s="5"/>
    </row>
    <row r="19" customFormat="false" ht="15" hidden="false" customHeight="true" outlineLevel="0" collapsed="false">
      <c r="A19" s="10" t="s">
        <v>25</v>
      </c>
      <c r="B19" s="10"/>
      <c r="C19" s="10"/>
      <c r="D19" s="12" t="n">
        <v>46174</v>
      </c>
      <c r="E19" s="12"/>
    </row>
    <row r="20" customFormat="false" ht="15" hidden="false" customHeight="true" outlineLevel="0" collapsed="false">
      <c r="A20" s="10" t="s">
        <v>26</v>
      </c>
      <c r="B20" s="10"/>
      <c r="C20" s="10"/>
      <c r="D20" s="5" t="s">
        <v>27</v>
      </c>
      <c r="E20" s="5"/>
    </row>
    <row r="21" customFormat="false" ht="15" hidden="false" customHeight="true" outlineLevel="0" collapsed="false">
      <c r="A21" s="10" t="s">
        <v>28</v>
      </c>
      <c r="B21" s="10"/>
      <c r="C21" s="10"/>
      <c r="D21" s="5" t="s">
        <v>29</v>
      </c>
      <c r="E21" s="5"/>
    </row>
  </sheetData>
  <sheetProtection sheet="true" formatCells="false"/>
  <mergeCells count="31">
    <mergeCell ref="A1:E1"/>
    <mergeCell ref="A2:E2"/>
    <mergeCell ref="A4:E4"/>
    <mergeCell ref="B5:C5"/>
    <mergeCell ref="D5:E5"/>
    <mergeCell ref="A6:E6"/>
    <mergeCell ref="A7:E7"/>
    <mergeCell ref="A8:E8"/>
    <mergeCell ref="A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</mergeCells>
  <dataValidations count="3">
    <dataValidation allowBlank="true" errorStyle="stop" operator="between" showDropDown="false" showErrorMessage="false" showInputMessage="false" sqref="D18" type="list">
      <formula1>"Default,Knowledge-intensive,Operations-heavy,Customer-facing service,Public sector / regulated,Healthcare"</formula1>
      <formula2>0</formula2>
    </dataValidation>
    <dataValidation allowBlank="true" errorStyle="stop" operator="between" showDropDown="false" showErrorMessage="false" showInputMessage="false" sqref="D16" type="list">
      <formula1>"&lt;50 FTE,50–200 FTE,200–1 000 FTE,&gt;1 000 FTE"</formula1>
      <formula2>0</formula2>
    </dataValidation>
    <dataValidation allowBlank="true" errorStyle="stop" operator="between" showDropDown="false" showErrorMessage="false" showInputMessage="false" sqref="D17" type="list">
      <formula1>"Operations,Sales,Technology,Support functions,Professional services,R&amp;D,Customer-facing service,Other"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30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</row>
    <row r="5" customFormat="false" ht="15" hidden="false" customHeight="true" outlineLevel="0" collapsed="false">
      <c r="A5" s="10" t="s">
        <v>38</v>
      </c>
      <c r="B5" s="5" t="s">
        <v>39</v>
      </c>
      <c r="C5" s="13" t="s">
        <v>40</v>
      </c>
      <c r="D5" s="12" t="n">
        <v>46127</v>
      </c>
      <c r="E5" s="6" t="str">
        <f aca="false">IFERROR(IF(B5="Insufficient data","n/a",IF(DATEDIF(D5,'Engagement Metadata'!$D$19,"m")&lt;=INDEX(Ref!$B$41:$B$61,MATCH("C1",Ref!$A$41:$A$61,0)),"High",IF(DATEDIF(D5,'Engagement Metadata'!$D$19,"m")&lt;=INDEX(Ref!$C$41:$C$61,MATCH("C1",Ref!$A$41:$A$61,0)),"Medium","Low"))),"-")</f>
        <v>High</v>
      </c>
      <c r="F5" s="13" t="s">
        <v>41</v>
      </c>
    </row>
    <row r="6" customFormat="false" ht="15" hidden="false" customHeight="true" outlineLevel="0" collapsed="false">
      <c r="A6" s="10" t="s">
        <v>42</v>
      </c>
      <c r="B6" s="5" t="s">
        <v>39</v>
      </c>
      <c r="C6" s="13" t="s">
        <v>43</v>
      </c>
      <c r="D6" s="12" t="n">
        <v>46132</v>
      </c>
      <c r="E6" s="6" t="str">
        <f aca="false">IFERROR(IF(B6="Insufficient data","n/a",IF(DATEDIF(D6,'Engagement Metadata'!$D$19,"m")&lt;=INDEX(Ref!$B$41:$B$61,MATCH("C2",Ref!$A$41:$A$61,0)),"High",IF(DATEDIF(D6,'Engagement Metadata'!$D$19,"m")&lt;=INDEX(Ref!$C$41:$C$61,MATCH("C2",Ref!$A$41:$A$61,0)),"Medium","Low"))),"-")</f>
        <v>High</v>
      </c>
      <c r="F6" s="13"/>
    </row>
    <row r="7" customFormat="false" ht="15" hidden="false" customHeight="true" outlineLevel="0" collapsed="false">
      <c r="A7" s="10" t="s">
        <v>44</v>
      </c>
      <c r="B7" s="5" t="s">
        <v>39</v>
      </c>
      <c r="C7" s="13" t="s">
        <v>45</v>
      </c>
      <c r="D7" s="12" t="n">
        <v>46111</v>
      </c>
      <c r="E7" s="6" t="str">
        <f aca="false">IFERROR(IF(B7="Insufficient data","n/a",IF(DATEDIF(D7,'Engagement Metadata'!$D$19,"m")&lt;=INDEX(Ref!$B$41:$B$61,MATCH("C3",Ref!$A$41:$A$61,0)),"High",IF(DATEDIF(D7,'Engagement Metadata'!$D$19,"m")&lt;=INDEX(Ref!$C$41:$C$61,MATCH("C3",Ref!$A$41:$A$61,0)),"Medium","Low"))),"-")</f>
        <v>High</v>
      </c>
      <c r="F7" s="13" t="s">
        <v>46</v>
      </c>
    </row>
    <row r="8" customFormat="false" ht="15" hidden="false" customHeight="true" outlineLevel="0" collapsed="false">
      <c r="A8" s="10" t="s">
        <v>47</v>
      </c>
      <c r="B8" s="5" t="s">
        <v>48</v>
      </c>
      <c r="C8" s="13" t="s">
        <v>49</v>
      </c>
      <c r="D8" s="12" t="n">
        <v>46152</v>
      </c>
      <c r="E8" s="6" t="str">
        <f aca="false">IFERROR(IF(B8="Insufficient data","n/a",IF(DATEDIF(D8,'Engagement Metadata'!$D$19,"m")&lt;=INDEX(Ref!$B$41:$B$61,MATCH("C4",Ref!$A$41:$A$61,0)),"High",IF(DATEDIF(D8,'Engagement Metadata'!$D$19,"m")&lt;=INDEX(Ref!$C$41:$C$61,MATCH("C4",Ref!$A$41:$A$61,0)),"Medium","Low"))),"-")</f>
        <v>High</v>
      </c>
      <c r="F8" s="13" t="s">
        <v>50</v>
      </c>
    </row>
    <row r="9" customFormat="false" ht="15" hidden="false" customHeight="true" outlineLevel="0" collapsed="false">
      <c r="A9" s="10" t="s">
        <v>51</v>
      </c>
      <c r="B9" s="5" t="s">
        <v>39</v>
      </c>
      <c r="C9" s="13" t="s">
        <v>52</v>
      </c>
      <c r="D9" s="12" t="n">
        <v>46143</v>
      </c>
      <c r="E9" s="6" t="str">
        <f aca="false">IFERROR(IF(B9="Insufficient data","n/a",IF(DATEDIF(D9,'Engagement Metadata'!$D$19,"m")&lt;=INDEX(Ref!$B$41:$B$61,MATCH("C5",Ref!$A$41:$A$61,0)),"High",IF(DATEDIF(D9,'Engagement Metadata'!$D$19,"m")&lt;=INDEX(Ref!$C$41:$C$61,MATCH("C5",Ref!$A$41:$A$61,0)),"Medium","Low"))),"-")</f>
        <v>High</v>
      </c>
      <c r="F9" s="13"/>
    </row>
    <row r="10" customFormat="false" ht="15" hidden="false" customHeight="true" outlineLevel="0" collapsed="false">
      <c r="A10" s="10" t="s">
        <v>53</v>
      </c>
      <c r="B10" s="5" t="s">
        <v>39</v>
      </c>
      <c r="C10" s="13" t="s">
        <v>54</v>
      </c>
      <c r="D10" s="12" t="n">
        <v>46147</v>
      </c>
      <c r="E10" s="6" t="str">
        <f aca="false">IFERROR(IF(B10="Insufficient data","n/a",IF(DATEDIF(D10,'Engagement Metadata'!$D$19,"m")&lt;=INDEX(Ref!$B$41:$B$61,MATCH("M1",Ref!$A$41:$A$61,0)),"High",IF(DATEDIF(D10,'Engagement Metadata'!$D$19,"m")&lt;=INDEX(Ref!$C$41:$C$61,MATCH("M1",Ref!$A$41:$A$61,0)),"Medium","Low"))),"-")</f>
        <v>High</v>
      </c>
      <c r="F10" s="13"/>
    </row>
    <row r="11" customFormat="false" ht="15" hidden="false" customHeight="true" outlineLevel="0" collapsed="false">
      <c r="A11" s="10" t="s">
        <v>55</v>
      </c>
      <c r="B11" s="5" t="s">
        <v>48</v>
      </c>
      <c r="C11" s="13" t="s">
        <v>56</v>
      </c>
      <c r="D11" s="12" t="n">
        <v>46152</v>
      </c>
      <c r="E11" s="6" t="str">
        <f aca="false">IFERROR(IF(B11="Insufficient data","n/a",IF(DATEDIF(D11,'Engagement Metadata'!$D$19,"m")&lt;=INDEX(Ref!$B$41:$B$61,MATCH("M2",Ref!$A$41:$A$61,0)),"High",IF(DATEDIF(D11,'Engagement Metadata'!$D$19,"m")&lt;=INDEX(Ref!$C$41:$C$61,MATCH("M2",Ref!$A$41:$A$61,0)),"Medium","Low"))),"-")</f>
        <v>High</v>
      </c>
      <c r="F11" s="13"/>
    </row>
    <row r="12" customFormat="false" ht="15" hidden="false" customHeight="true" outlineLevel="0" collapsed="false">
      <c r="A12" s="10" t="s">
        <v>57</v>
      </c>
      <c r="B12" s="5" t="s">
        <v>48</v>
      </c>
      <c r="C12" s="13" t="s">
        <v>58</v>
      </c>
      <c r="D12" s="12" t="n">
        <v>46152</v>
      </c>
      <c r="E12" s="6" t="str">
        <f aca="false">IFERROR(IF(B12="Insufficient data","n/a",IF(DATEDIF(D12,'Engagement Metadata'!$D$19,"m")&lt;=INDEX(Ref!$B$41:$B$61,MATCH("M3",Ref!$A$41:$A$61,0)),"High",IF(DATEDIF(D12,'Engagement Metadata'!$D$19,"m")&lt;=INDEX(Ref!$C$41:$C$61,MATCH("M3",Ref!$A$41:$A$61,0)),"Medium","Low"))),"-")</f>
        <v>High</v>
      </c>
      <c r="F12" s="13"/>
    </row>
    <row r="13" customFormat="false" ht="15" hidden="false" customHeight="true" outlineLevel="0" collapsed="false">
      <c r="A13" s="10" t="s">
        <v>59</v>
      </c>
      <c r="B13" s="5" t="s">
        <v>48</v>
      </c>
      <c r="C13" s="13" t="s">
        <v>60</v>
      </c>
      <c r="D13" s="12" t="n">
        <v>46152</v>
      </c>
      <c r="E13" s="6" t="str">
        <f aca="false">IFERROR(IF(B13="Insufficient data","n/a",IF(DATEDIF(D13,'Engagement Metadata'!$D$19,"m")&lt;=INDEX(Ref!$B$41:$B$61,MATCH("M4",Ref!$A$41:$A$61,0)),"High",IF(DATEDIF(D13,'Engagement Metadata'!$D$19,"m")&lt;=INDEX(Ref!$C$41:$C$61,MATCH("M4",Ref!$A$41:$A$61,0)),"Medium","Low"))),"-")</f>
        <v>High</v>
      </c>
      <c r="F13" s="13"/>
    </row>
    <row r="14" customFormat="false" ht="15" hidden="false" customHeight="true" outlineLevel="0" collapsed="false">
      <c r="A14" s="10" t="s">
        <v>61</v>
      </c>
      <c r="B14" s="5" t="s">
        <v>48</v>
      </c>
      <c r="C14" s="13" t="s">
        <v>62</v>
      </c>
      <c r="D14" s="12" t="n">
        <v>46152</v>
      </c>
      <c r="E14" s="6" t="str">
        <f aca="false">IFERROR(IF(B14="Insufficient data","n/a",IF(DATEDIF(D14,'Engagement Metadata'!$D$19,"m")&lt;=INDEX(Ref!$B$41:$B$61,MATCH("TW1",Ref!$A$41:$A$61,0)),"High",IF(DATEDIF(D14,'Engagement Metadata'!$D$19,"m")&lt;=INDEX(Ref!$C$41:$C$61,MATCH("TW1",Ref!$A$41:$A$61,0)),"Medium","Low"))),"-")</f>
        <v>High</v>
      </c>
      <c r="F14" s="13"/>
    </row>
    <row r="15" customFormat="false" ht="15" hidden="false" customHeight="true" outlineLevel="0" collapsed="false">
      <c r="A15" s="10" t="s">
        <v>63</v>
      </c>
      <c r="B15" s="5" t="s">
        <v>48</v>
      </c>
      <c r="C15" s="13" t="s">
        <v>62</v>
      </c>
      <c r="D15" s="12" t="n">
        <v>46152</v>
      </c>
      <c r="E15" s="6" t="str">
        <f aca="false">IFERROR(IF(B15="Insufficient data","n/a",IF(DATEDIF(D15,'Engagement Metadata'!$D$19,"m")&lt;=INDEX(Ref!$B$41:$B$61,MATCH("TW2",Ref!$A$41:$A$61,0)),"High",IF(DATEDIF(D15,'Engagement Metadata'!$D$19,"m")&lt;=INDEX(Ref!$C$41:$C$61,MATCH("TW2",Ref!$A$41:$A$61,0)),"Medium","Low"))),"-")</f>
        <v>High</v>
      </c>
      <c r="F15" s="13"/>
    </row>
    <row r="16" customFormat="false" ht="15" hidden="false" customHeight="true" outlineLevel="0" collapsed="false">
      <c r="A16" s="10" t="s">
        <v>64</v>
      </c>
      <c r="B16" s="5" t="s">
        <v>48</v>
      </c>
      <c r="C16" s="13" t="s">
        <v>62</v>
      </c>
      <c r="D16" s="12" t="n">
        <v>46152</v>
      </c>
      <c r="E16" s="6" t="str">
        <f aca="false">IFERROR(IF(B16="Insufficient data","n/a",IF(DATEDIF(D16,'Engagement Metadata'!$D$19,"m")&lt;=INDEX(Ref!$B$41:$B$61,MATCH("TW3",Ref!$A$41:$A$61,0)),"High",IF(DATEDIF(D16,'Engagement Metadata'!$D$19,"m")&lt;=INDEX(Ref!$C$41:$C$61,MATCH("TW3",Ref!$A$41:$A$61,0)),"Medium","Low"))),"-")</f>
        <v>High</v>
      </c>
      <c r="F16" s="13" t="s">
        <v>65</v>
      </c>
    </row>
    <row r="17" customFormat="false" ht="15" hidden="false" customHeight="true" outlineLevel="0" collapsed="false">
      <c r="A17" s="10" t="s">
        <v>66</v>
      </c>
      <c r="B17" s="5" t="s">
        <v>48</v>
      </c>
      <c r="C17" s="13" t="s">
        <v>67</v>
      </c>
      <c r="D17" s="12" t="n">
        <v>46152</v>
      </c>
      <c r="E17" s="6" t="str">
        <f aca="false">IFERROR(IF(B17="Insufficient data","n/a",IF(DATEDIF(D17,'Engagement Metadata'!$D$19,"m")&lt;=INDEX(Ref!$B$41:$B$61,MATCH("O1",Ref!$A$41:$A$61,0)),"High",IF(DATEDIF(D17,'Engagement Metadata'!$D$19,"m")&lt;=INDEX(Ref!$C$41:$C$61,MATCH("O1",Ref!$A$41:$A$61,0)),"Medium","Low"))),"-")</f>
        <v>High</v>
      </c>
      <c r="F17" s="13" t="s">
        <v>68</v>
      </c>
    </row>
    <row r="18" customFormat="false" ht="15" hidden="false" customHeight="true" outlineLevel="0" collapsed="false">
      <c r="A18" s="10" t="s">
        <v>69</v>
      </c>
      <c r="B18" s="5" t="s">
        <v>48</v>
      </c>
      <c r="C18" s="13" t="s">
        <v>70</v>
      </c>
      <c r="D18" s="12" t="n">
        <v>46152</v>
      </c>
      <c r="E18" s="6" t="str">
        <f aca="false">IFERROR(IF(B18="Insufficient data","n/a",IF(DATEDIF(D18,'Engagement Metadata'!$D$19,"m")&lt;=INDEX(Ref!$B$41:$B$61,MATCH("O2",Ref!$A$41:$A$61,0)),"High",IF(DATEDIF(D18,'Engagement Metadata'!$D$19,"m")&lt;=INDEX(Ref!$C$41:$C$61,MATCH("O2",Ref!$A$41:$A$61,0)),"Medium","Low"))),"-")</f>
        <v>High</v>
      </c>
      <c r="F18" s="13" t="s">
        <v>68</v>
      </c>
    </row>
    <row r="19" customFormat="false" ht="15" hidden="false" customHeight="true" outlineLevel="0" collapsed="false">
      <c r="A19" s="10" t="s">
        <v>71</v>
      </c>
      <c r="B19" s="5" t="s">
        <v>48</v>
      </c>
      <c r="C19" s="13" t="s">
        <v>72</v>
      </c>
      <c r="D19" s="12" t="n">
        <v>46152</v>
      </c>
      <c r="E19" s="6" t="str">
        <f aca="false">IFERROR(IF(B19="Insufficient data","n/a",IF(DATEDIF(D19,'Engagement Metadata'!$D$19,"m")&lt;=INDEX(Ref!$B$41:$B$61,MATCH("O3",Ref!$A$41:$A$61,0)),"High",IF(DATEDIF(D19,'Engagement Metadata'!$D$19,"m")&lt;=INDEX(Ref!$C$41:$C$61,MATCH("O3",Ref!$A$41:$A$61,0)),"Medium","Low"))),"-")</f>
        <v>High</v>
      </c>
      <c r="F19" s="13" t="s">
        <v>68</v>
      </c>
    </row>
    <row r="20" customFormat="false" ht="15" hidden="false" customHeight="true" outlineLevel="0" collapsed="false">
      <c r="A20" s="10" t="s">
        <v>73</v>
      </c>
      <c r="B20" s="5" t="s">
        <v>48</v>
      </c>
      <c r="C20" s="13" t="s">
        <v>74</v>
      </c>
      <c r="D20" s="12" t="n">
        <v>46152</v>
      </c>
      <c r="E20" s="6" t="str">
        <f aca="false">IFERROR(IF(B20="Insufficient data","n/a",IF(DATEDIF(D20,'Engagement Metadata'!$D$19,"m")&lt;=INDEX(Ref!$B$41:$B$61,MATCH("O4",Ref!$A$41:$A$61,0)),"High",IF(DATEDIF(D20,'Engagement Metadata'!$D$19,"m")&lt;=INDEX(Ref!$C$41:$C$61,MATCH("O4",Ref!$A$41:$A$61,0)),"Medium","Low"))),"-")</f>
        <v>High</v>
      </c>
      <c r="F20" s="13"/>
    </row>
    <row r="21" customFormat="false" ht="15" hidden="false" customHeight="true" outlineLevel="0" collapsed="false">
      <c r="A21" s="10" t="s">
        <v>75</v>
      </c>
      <c r="B21" s="5" t="s">
        <v>48</v>
      </c>
      <c r="C21" s="13" t="s">
        <v>76</v>
      </c>
      <c r="D21" s="12" t="n">
        <v>46152</v>
      </c>
      <c r="E21" s="6" t="str">
        <f aca="false">IFERROR(IF(B21="Insufficient data","n/a",IF(DATEDIF(D21,'Engagement Metadata'!$D$19,"m")&lt;=INDEX(Ref!$B$41:$B$61,MATCH("O5",Ref!$A$41:$A$61,0)),"High",IF(DATEDIF(D21,'Engagement Metadata'!$D$19,"m")&lt;=INDEX(Ref!$C$41:$C$61,MATCH("O5",Ref!$A$41:$A$61,0)),"Medium","Low"))),"-")</f>
        <v>High</v>
      </c>
      <c r="F21" s="13" t="s">
        <v>77</v>
      </c>
    </row>
    <row r="22" customFormat="false" ht="15" hidden="false" customHeight="true" outlineLevel="0" collapsed="false">
      <c r="A22" s="10" t="s">
        <v>78</v>
      </c>
      <c r="B22" s="5" t="s">
        <v>39</v>
      </c>
      <c r="C22" s="13" t="s">
        <v>79</v>
      </c>
      <c r="D22" s="12" t="n">
        <v>46127</v>
      </c>
      <c r="E22" s="6" t="str">
        <f aca="false">IFERROR(IF(B22="Insufficient data","n/a",IF(DATEDIF(D22,'Engagement Metadata'!$D$19,"m")&lt;=INDEX(Ref!$B$41:$B$61,MATCH("S1",Ref!$A$41:$A$61,0)),"High",IF(DATEDIF(D22,'Engagement Metadata'!$D$19,"m")&lt;=INDEX(Ref!$C$41:$C$61,MATCH("S1",Ref!$A$41:$A$61,0)),"Medium","Low"))),"-")</f>
        <v>High</v>
      </c>
      <c r="F22" s="13" t="s">
        <v>80</v>
      </c>
    </row>
    <row r="23" customFormat="false" ht="15" hidden="false" customHeight="true" outlineLevel="0" collapsed="false">
      <c r="A23" s="10" t="s">
        <v>81</v>
      </c>
      <c r="B23" s="5" t="s">
        <v>39</v>
      </c>
      <c r="C23" s="13" t="s">
        <v>82</v>
      </c>
      <c r="D23" s="12" t="n">
        <v>46152</v>
      </c>
      <c r="E23" s="6" t="str">
        <f aca="false">IFERROR(IF(B23="Insufficient data","n/a",IF(DATEDIF(D23,'Engagement Metadata'!$D$19,"m")&lt;=INDEX(Ref!$B$41:$B$61,MATCH("S2",Ref!$A$41:$A$61,0)),"High",IF(DATEDIF(D23,'Engagement Metadata'!$D$19,"m")&lt;=INDEX(Ref!$C$41:$C$61,MATCH("S2",Ref!$A$41:$A$61,0)),"Medium","Low"))),"-")</f>
        <v>High</v>
      </c>
      <c r="F23" s="13" t="s">
        <v>83</v>
      </c>
    </row>
    <row r="24" customFormat="false" ht="15" hidden="false" customHeight="true" outlineLevel="0" collapsed="false">
      <c r="A24" s="10" t="s">
        <v>84</v>
      </c>
      <c r="B24" s="5" t="s">
        <v>48</v>
      </c>
      <c r="C24" s="13" t="s">
        <v>85</v>
      </c>
      <c r="D24" s="12" t="n">
        <v>46152</v>
      </c>
      <c r="E24" s="6" t="str">
        <f aca="false">IFERROR(IF(B24="Insufficient data","n/a",IF(DATEDIF(D24,'Engagement Metadata'!$D$19,"m")&lt;=INDEX(Ref!$B$41:$B$61,MATCH("S3",Ref!$A$41:$A$61,0)),"High",IF(DATEDIF(D24,'Engagement Metadata'!$D$19,"m")&lt;=INDEX(Ref!$C$41:$C$61,MATCH("S3",Ref!$A$41:$A$61,0)),"Medium","Low"))),"-")</f>
        <v>High</v>
      </c>
      <c r="F24" s="13"/>
    </row>
    <row r="25" customFormat="false" ht="15" hidden="false" customHeight="true" outlineLevel="0" collapsed="false">
      <c r="A25" s="10" t="s">
        <v>86</v>
      </c>
      <c r="B25" s="5" t="s">
        <v>48</v>
      </c>
      <c r="C25" s="13" t="s">
        <v>87</v>
      </c>
      <c r="D25" s="12" t="n">
        <v>46157</v>
      </c>
      <c r="E25" s="6" t="str">
        <f aca="false">IFERROR(IF(B25="Insufficient data","n/a",IF(DATEDIF(D25,'Engagement Metadata'!$D$19,"m")&lt;=INDEX(Ref!$B$41:$B$61,MATCH("DLP",Ref!$A$41:$A$61,0)),"High",IF(DATEDIF(D25,'Engagement Metadata'!$D$19,"m")&lt;=INDEX(Ref!$C$41:$C$61,MATCH("DLP",Ref!$A$41:$A$61,0)),"Medium","Low"))),"-")</f>
        <v>High</v>
      </c>
      <c r="F25" s="13" t="s">
        <v>88</v>
      </c>
    </row>
  </sheetData>
  <sheetProtection sheet="true" formatCells="false"/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B5:B25" type="list">
      <formula1>"Tier 1,Tier 2,Tier 3,Insufficient data"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8" min="6" style="1" width="12"/>
  </cols>
  <sheetData>
    <row r="1" customFormat="false" ht="19.5" hidden="false" customHeight="true" outlineLevel="0" collapsed="false">
      <c r="A1" s="2" t="s">
        <v>89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90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9" t="s">
        <v>91</v>
      </c>
      <c r="B4" s="9"/>
      <c r="C4" s="9"/>
      <c r="D4" s="9"/>
      <c r="E4" s="9"/>
      <c r="F4" s="9"/>
      <c r="G4" s="9"/>
      <c r="H4" s="9"/>
    </row>
    <row r="5" customFormat="false" ht="15" hidden="false" customHeight="true" outlineLevel="0" collapsed="false">
      <c r="A5" s="14" t="s">
        <v>92</v>
      </c>
      <c r="B5" s="14"/>
      <c r="C5" s="14"/>
      <c r="D5" s="14"/>
      <c r="E5" s="14"/>
      <c r="F5" s="14"/>
      <c r="G5" s="14"/>
      <c r="H5" s="14"/>
    </row>
    <row r="6" customFormat="false" ht="34.5" hidden="false" customHeight="true" outlineLevel="0" collapsed="false">
      <c r="A6" s="9" t="s">
        <v>93</v>
      </c>
      <c r="B6" s="9" t="s">
        <v>94</v>
      </c>
      <c r="C6" s="9" t="s">
        <v>95</v>
      </c>
      <c r="D6" s="9" t="s">
        <v>96</v>
      </c>
      <c r="E6" s="9" t="s">
        <v>97</v>
      </c>
      <c r="F6" s="9" t="s">
        <v>98</v>
      </c>
      <c r="G6" s="14" t="s">
        <v>99</v>
      </c>
      <c r="H6" s="14" t="s">
        <v>100</v>
      </c>
    </row>
    <row r="7" customFormat="false" ht="15" hidden="false" customHeight="true" outlineLevel="0" collapsed="false">
      <c r="A7" s="13" t="s">
        <v>101</v>
      </c>
      <c r="B7" s="11" t="n">
        <v>50</v>
      </c>
      <c r="C7" s="11" t="n">
        <v>10</v>
      </c>
      <c r="D7" s="11" t="n">
        <v>380</v>
      </c>
      <c r="E7" s="15" t="n">
        <f aca="false">IFERROR(MIN(D7/(B7*C7),1),"")</f>
        <v>0.76</v>
      </c>
      <c r="F7" s="16" t="n">
        <f aca="false">IFERROR(E7*100,"")</f>
        <v>76</v>
      </c>
      <c r="G7" s="17" t="n">
        <f aca="false">IF(AND(ISNUMBER(B7),ISNUMBER(C7),ISNUMBER(D7),C7&gt;0),B7,0)</f>
        <v>50</v>
      </c>
      <c r="H7" s="16" t="n">
        <f aca="false">IF(G7&gt;0,MIN(D7/(B7*C7),1)*100*B7,0)</f>
        <v>3800</v>
      </c>
    </row>
    <row r="8" customFormat="false" ht="15" hidden="false" customHeight="true" outlineLevel="0" collapsed="false">
      <c r="A8" s="13" t="s">
        <v>102</v>
      </c>
      <c r="B8" s="11" t="n">
        <v>10</v>
      </c>
      <c r="C8" s="11" t="n">
        <v>12</v>
      </c>
      <c r="D8" s="11" t="n">
        <v>92</v>
      </c>
      <c r="E8" s="15" t="n">
        <f aca="false">IFERROR(MIN(D8/(B8*C8),1),"")</f>
        <v>0.766666666666667</v>
      </c>
      <c r="F8" s="16" t="n">
        <f aca="false">IFERROR(E8*100,"")</f>
        <v>76.6666666666667</v>
      </c>
      <c r="G8" s="17" t="n">
        <f aca="false">IF(AND(ISNUMBER(B8),ISNUMBER(C8),ISNUMBER(D8),C8&gt;0),B8,0)</f>
        <v>10</v>
      </c>
      <c r="H8" s="16" t="n">
        <f aca="false">IF(G8&gt;0,MIN(D8/(B8*C8),1)*100*B8,0)</f>
        <v>766.666666666667</v>
      </c>
    </row>
    <row r="9" customFormat="false" ht="15" hidden="false" customHeight="true" outlineLevel="0" collapsed="false">
      <c r="A9" s="13"/>
      <c r="B9" s="11"/>
      <c r="C9" s="11"/>
      <c r="D9" s="11"/>
      <c r="E9" s="15" t="str">
        <f aca="false">IFERROR(MIN(D9/(B9*C9),1),"")</f>
        <v/>
      </c>
      <c r="F9" s="16" t="str">
        <f aca="false">IFERROR(E9*100,"")</f>
        <v/>
      </c>
      <c r="G9" s="17" t="n">
        <f aca="false">IF(AND(ISNUMBER(B9),ISNUMBER(C9),ISNUMBER(D9),C9&gt;0),B9,0)</f>
        <v>0</v>
      </c>
      <c r="H9" s="16" t="n">
        <f aca="false">IF(G9&gt;0,MIN(D9/(B9*C9),1)*100*B9,0)</f>
        <v>0</v>
      </c>
    </row>
    <row r="10" customFormat="false" ht="15" hidden="false" customHeight="true" outlineLevel="0" collapsed="false">
      <c r="A10" s="10" t="s">
        <v>103</v>
      </c>
      <c r="B10" s="10"/>
      <c r="C10" s="10"/>
      <c r="D10" s="11" t="n">
        <v>22</v>
      </c>
    </row>
    <row r="11" customFormat="false" ht="15" hidden="false" customHeight="true" outlineLevel="0" collapsed="false">
      <c r="A11" s="10" t="s">
        <v>104</v>
      </c>
      <c r="B11" s="10"/>
      <c r="C11" s="10"/>
      <c r="D11" s="18" t="n">
        <f aca="false">IF(ISNUMBER(D10),IF(D10&lt;18,0.95,IF(D10&gt;96,1.05,1)),1)</f>
        <v>1</v>
      </c>
    </row>
    <row r="12" customFormat="false" ht="15" hidden="false" customHeight="true" outlineLevel="0" collapsed="false">
      <c r="A12" s="7" t="s">
        <v>105</v>
      </c>
      <c r="B12" s="7"/>
      <c r="C12" s="7"/>
      <c r="D12" s="19" t="n">
        <f aca="false">IF(SUM(G7:G9)=0,"",SUM(H7:H9)/SUM(G7:G9)*D11)</f>
        <v>76.1111111111111</v>
      </c>
    </row>
    <row r="13" customFormat="false" ht="15" hidden="false" customHeight="true" outlineLevel="0" collapsed="false">
      <c r="A13" s="14" t="s">
        <v>106</v>
      </c>
      <c r="B13" s="14"/>
      <c r="C13" s="14"/>
      <c r="D13" s="20"/>
    </row>
    <row r="15" customFormat="false" ht="15" hidden="false" customHeight="true" outlineLevel="0" collapsed="false">
      <c r="A15" s="4" t="s">
        <v>107</v>
      </c>
      <c r="B15" s="4"/>
      <c r="C15" s="4"/>
      <c r="D15" s="19" t="n">
        <f aca="false">IF('Tier Assignment'!$B$5="Tier 3",D13,IF('Tier Assignment'!$B$5="Insufficient data","",D12))</f>
        <v>76.1111111111111</v>
      </c>
    </row>
    <row r="17" customFormat="false" ht="15" hidden="false" customHeight="true" outlineLevel="0" collapsed="false">
      <c r="A17" s="9" t="s">
        <v>108</v>
      </c>
      <c r="B17" s="9"/>
      <c r="C17" s="9"/>
      <c r="D17" s="9"/>
      <c r="E17" s="9"/>
      <c r="F17" s="9"/>
      <c r="G17" s="9"/>
      <c r="H17" s="9"/>
    </row>
    <row r="18" customFormat="false" ht="23.25" hidden="false" customHeight="true" outlineLevel="0" collapsed="false">
      <c r="A18" s="9" t="s">
        <v>109</v>
      </c>
      <c r="B18" s="9" t="s">
        <v>110</v>
      </c>
      <c r="C18" s="9" t="s">
        <v>111</v>
      </c>
      <c r="D18" s="9" t="s">
        <v>112</v>
      </c>
      <c r="E18" s="9" t="s">
        <v>113</v>
      </c>
      <c r="F18" s="14" t="s">
        <v>114</v>
      </c>
      <c r="G18" s="14" t="s">
        <v>115</v>
      </c>
    </row>
    <row r="19" customFormat="false" ht="15" hidden="false" customHeight="true" outlineLevel="0" collapsed="false">
      <c r="A19" s="13" t="s">
        <v>116</v>
      </c>
      <c r="B19" s="11" t="n">
        <v>3</v>
      </c>
      <c r="C19" s="20" t="n">
        <v>84</v>
      </c>
      <c r="D19" s="21" t="n">
        <v>0.92</v>
      </c>
      <c r="E19" s="16" t="n">
        <f aca="false">IFERROR(C19*D19,"")</f>
        <v>77.28</v>
      </c>
      <c r="F19" s="17" t="n">
        <f aca="false">IF(AND(ISNUMBER(B19),ISNUMBER(C19),ISNUMBER(D19)),B19,0)</f>
        <v>3</v>
      </c>
      <c r="G19" s="16" t="n">
        <f aca="false">IF(F19&gt;0,C19*D19*B19,0)</f>
        <v>231.84</v>
      </c>
    </row>
    <row r="20" customFormat="false" ht="15" hidden="false" customHeight="true" outlineLevel="0" collapsed="false">
      <c r="A20" s="13" t="s">
        <v>117</v>
      </c>
      <c r="B20" s="11" t="n">
        <v>2</v>
      </c>
      <c r="C20" s="20" t="n">
        <v>82</v>
      </c>
      <c r="D20" s="21" t="n">
        <v>0.88</v>
      </c>
      <c r="E20" s="16" t="n">
        <f aca="false">IFERROR(C20*D20,"")</f>
        <v>72.16</v>
      </c>
      <c r="F20" s="17" t="n">
        <f aca="false">IF(AND(ISNUMBER(B20),ISNUMBER(C20),ISNUMBER(D20)),B20,0)</f>
        <v>2</v>
      </c>
      <c r="G20" s="16" t="n">
        <f aca="false">IF(F20&gt;0,C20*D20*B20,0)</f>
        <v>144.32</v>
      </c>
    </row>
    <row r="21" customFormat="false" ht="15" hidden="false" customHeight="true" outlineLevel="0" collapsed="false">
      <c r="A21" s="13" t="s">
        <v>118</v>
      </c>
      <c r="B21" s="11" t="n">
        <v>2</v>
      </c>
      <c r="C21" s="20" t="n">
        <v>78</v>
      </c>
      <c r="D21" s="21" t="n">
        <v>0.9</v>
      </c>
      <c r="E21" s="16" t="n">
        <f aca="false">IFERROR(C21*D21,"")</f>
        <v>70.2</v>
      </c>
      <c r="F21" s="17" t="n">
        <f aca="false">IF(AND(ISNUMBER(B21),ISNUMBER(C21),ISNUMBER(D21)),B21,0)</f>
        <v>2</v>
      </c>
      <c r="G21" s="16" t="n">
        <f aca="false">IF(F21&gt;0,C21*D21*B21,0)</f>
        <v>140.4</v>
      </c>
    </row>
    <row r="22" customFormat="false" ht="15" hidden="false" customHeight="true" outlineLevel="0" collapsed="false">
      <c r="A22" s="13"/>
      <c r="B22" s="11"/>
      <c r="C22" s="20"/>
      <c r="D22" s="21"/>
      <c r="E22" s="16" t="n">
        <f aca="false">IFERROR(C22*D22,"")</f>
        <v>0</v>
      </c>
      <c r="F22" s="17" t="n">
        <f aca="false">IF(AND(ISNUMBER(B22),ISNUMBER(C22),ISNUMBER(D22)),B22,0)</f>
        <v>0</v>
      </c>
      <c r="G22" s="16" t="n">
        <f aca="false">IF(F22&gt;0,C22*D22*B22,0)</f>
        <v>0</v>
      </c>
    </row>
    <row r="23" customFormat="false" ht="15" hidden="false" customHeight="true" outlineLevel="0" collapsed="false">
      <c r="A23" s="10" t="s">
        <v>119</v>
      </c>
      <c r="B23" s="10"/>
      <c r="C23" s="10"/>
      <c r="D23" s="6" t="str">
        <f aca="false">IF(SUMPRODUCT(--(B19:B22=3),--(D19:D22&gt;=0.6))&gt;=1,"OK","INSUFFICIENT COVERAGE")</f>
        <v>OK</v>
      </c>
    </row>
    <row r="24" customFormat="false" ht="15" hidden="false" customHeight="true" outlineLevel="0" collapsed="false">
      <c r="A24" s="4" t="s">
        <v>120</v>
      </c>
      <c r="B24" s="4"/>
      <c r="C24" s="4"/>
      <c r="D24" s="19" t="n">
        <f aca="false">IF(SUM(F19:F22)=0,"",SUM(G19:G22)/SUM(F19:F22))</f>
        <v>73.7942857142857</v>
      </c>
    </row>
    <row r="26" customFormat="false" ht="15" hidden="false" customHeight="true" outlineLevel="0" collapsed="false">
      <c r="A26" s="9" t="s">
        <v>121</v>
      </c>
      <c r="B26" s="9"/>
      <c r="C26" s="9"/>
      <c r="D26" s="9"/>
      <c r="E26" s="9"/>
      <c r="F26" s="9"/>
      <c r="G26" s="9"/>
      <c r="H26" s="9"/>
    </row>
    <row r="27" customFormat="false" ht="15" hidden="false" customHeight="true" outlineLevel="0" collapsed="false">
      <c r="A27" s="9" t="s">
        <v>122</v>
      </c>
      <c r="B27" s="9" t="s">
        <v>123</v>
      </c>
      <c r="C27" s="9" t="s">
        <v>124</v>
      </c>
      <c r="D27" s="9" t="s">
        <v>125</v>
      </c>
    </row>
    <row r="28" customFormat="false" ht="15" hidden="false" customHeight="true" outlineLevel="0" collapsed="false">
      <c r="A28" s="10" t="s">
        <v>126</v>
      </c>
      <c r="B28" s="11" t="n">
        <v>6</v>
      </c>
      <c r="C28" s="17" t="n">
        <v>100</v>
      </c>
      <c r="D28" s="22" t="n">
        <f aca="false">IFERROR(B28/SUM($B$28:$B$32),"")</f>
        <v>0.1</v>
      </c>
    </row>
    <row r="29" customFormat="false" ht="15" hidden="false" customHeight="true" outlineLevel="0" collapsed="false">
      <c r="A29" s="10" t="s">
        <v>127</v>
      </c>
      <c r="B29" s="11" t="n">
        <v>18</v>
      </c>
      <c r="C29" s="17" t="n">
        <v>80</v>
      </c>
      <c r="D29" s="22" t="n">
        <f aca="false">IFERROR(B29/SUM($B$28:$B$32),"")</f>
        <v>0.3</v>
      </c>
    </row>
    <row r="30" customFormat="false" ht="15" hidden="false" customHeight="true" outlineLevel="0" collapsed="false">
      <c r="A30" s="10" t="s">
        <v>128</v>
      </c>
      <c r="B30" s="11" t="n">
        <v>29</v>
      </c>
      <c r="C30" s="17" t="n">
        <v>60</v>
      </c>
      <c r="D30" s="22" t="n">
        <f aca="false">IFERROR(B30/SUM($B$28:$B$32),"")</f>
        <v>0.483333333333333</v>
      </c>
    </row>
    <row r="31" customFormat="false" ht="15" hidden="false" customHeight="true" outlineLevel="0" collapsed="false">
      <c r="A31" s="10" t="s">
        <v>129</v>
      </c>
      <c r="B31" s="11" t="n">
        <v>6</v>
      </c>
      <c r="C31" s="17" t="n">
        <v>35</v>
      </c>
      <c r="D31" s="22" t="n">
        <f aca="false">IFERROR(B31/SUM($B$28:$B$32),"")</f>
        <v>0.1</v>
      </c>
    </row>
    <row r="32" customFormat="false" ht="15" hidden="false" customHeight="true" outlineLevel="0" collapsed="false">
      <c r="A32" s="10" t="s">
        <v>130</v>
      </c>
      <c r="B32" s="11" t="n">
        <v>1</v>
      </c>
      <c r="C32" s="17" t="n">
        <v>0</v>
      </c>
      <c r="D32" s="22" t="n">
        <f aca="false">IFERROR(B32/SUM($B$28:$B$32),"")</f>
        <v>0.0166666666666667</v>
      </c>
    </row>
    <row r="33" customFormat="false" ht="15" hidden="false" customHeight="true" outlineLevel="0" collapsed="false">
      <c r="A33" s="4" t="s">
        <v>131</v>
      </c>
      <c r="B33" s="4"/>
      <c r="C33" s="4"/>
      <c r="D33" s="19" t="n">
        <f aca="false">IF(SUM(B28:B32)=0,"",SUMPRODUCT(B28:B32,C28:C32)/SUM(B28:B32))</f>
        <v>66.5</v>
      </c>
    </row>
    <row r="35" customFormat="false" ht="15" hidden="false" customHeight="true" outlineLevel="0" collapsed="false">
      <c r="A35" s="9" t="s">
        <v>132</v>
      </c>
      <c r="B35" s="9"/>
      <c r="C35" s="9"/>
      <c r="D35" s="9"/>
      <c r="E35" s="9"/>
      <c r="F35" s="9"/>
      <c r="G35" s="9"/>
      <c r="H35" s="9"/>
    </row>
    <row r="36" customFormat="false" ht="23.25" hidden="false" customHeight="true" outlineLevel="0" collapsed="false">
      <c r="A36" s="9" t="s">
        <v>133</v>
      </c>
      <c r="B36" s="9" t="s">
        <v>134</v>
      </c>
      <c r="C36" s="9" t="s">
        <v>135</v>
      </c>
      <c r="D36" s="9" t="s">
        <v>136</v>
      </c>
    </row>
    <row r="37" customFormat="false" ht="15" hidden="false" customHeight="true" outlineLevel="0" collapsed="false">
      <c r="A37" s="10" t="s">
        <v>137</v>
      </c>
      <c r="B37" s="23" t="n">
        <v>3.9</v>
      </c>
      <c r="C37" s="18" t="n">
        <f aca="false">IF(ISNUMBER(B37),B37,"")</f>
        <v>3.9</v>
      </c>
    </row>
    <row r="38" customFormat="false" ht="15" hidden="false" customHeight="true" outlineLevel="0" collapsed="false">
      <c r="A38" s="10" t="s">
        <v>138</v>
      </c>
      <c r="B38" s="23" t="n">
        <v>3.8</v>
      </c>
      <c r="C38" s="18" t="n">
        <f aca="false">IF(ISNUMBER(B38),B38,"")</f>
        <v>3.8</v>
      </c>
    </row>
    <row r="39" customFormat="false" ht="15" hidden="false" customHeight="true" outlineLevel="0" collapsed="false">
      <c r="A39" s="10" t="s">
        <v>139</v>
      </c>
      <c r="B39" s="23" t="n">
        <v>4</v>
      </c>
      <c r="C39" s="18" t="n">
        <f aca="false">IF(ISNUMBER(B39),B39,"")</f>
        <v>4</v>
      </c>
    </row>
    <row r="40" customFormat="false" ht="15" hidden="false" customHeight="true" outlineLevel="0" collapsed="false">
      <c r="A40" s="10" t="s">
        <v>140</v>
      </c>
      <c r="B40" s="23" t="n">
        <v>3.8</v>
      </c>
      <c r="C40" s="18" t="n">
        <f aca="false">IF(ISNUMBER(B40),B40,"")</f>
        <v>3.8</v>
      </c>
    </row>
    <row r="41" customFormat="false" ht="15" hidden="false" customHeight="true" outlineLevel="0" collapsed="false">
      <c r="A41" s="10" t="s">
        <v>141</v>
      </c>
      <c r="B41" s="23" t="n">
        <v>2.15</v>
      </c>
      <c r="C41" s="18" t="n">
        <f aca="false">IF(ISNUMBER(B41),6-B41,"")</f>
        <v>3.85</v>
      </c>
    </row>
    <row r="42" customFormat="false" ht="15" hidden="false" customHeight="true" outlineLevel="0" collapsed="false">
      <c r="A42" s="10" t="s">
        <v>142</v>
      </c>
      <c r="B42" s="23" t="n">
        <v>3.8</v>
      </c>
      <c r="C42" s="18" t="n">
        <f aca="false">IF(ISNUMBER(B42),B42,"")</f>
        <v>3.8</v>
      </c>
    </row>
    <row r="43" customFormat="false" ht="15" hidden="false" customHeight="true" outlineLevel="0" collapsed="false">
      <c r="A43" s="10" t="s">
        <v>143</v>
      </c>
      <c r="B43" s="23" t="n">
        <v>3.9</v>
      </c>
      <c r="C43" s="18" t="n">
        <f aca="false">IF(ISNUMBER(B43),B43,"")</f>
        <v>3.9</v>
      </c>
    </row>
    <row r="44" customFormat="false" ht="15" hidden="false" customHeight="true" outlineLevel="0" collapsed="false">
      <c r="A44" s="10" t="s">
        <v>144</v>
      </c>
      <c r="B44" s="23" t="n">
        <v>3.7</v>
      </c>
      <c r="C44" s="18" t="n">
        <f aca="false">IF(ISNUMBER(B44),B44,"")</f>
        <v>3.7</v>
      </c>
    </row>
    <row r="45" customFormat="false" ht="15" hidden="false" customHeight="true" outlineLevel="0" collapsed="false">
      <c r="A45" s="10" t="s">
        <v>145</v>
      </c>
      <c r="B45" s="23" t="n">
        <v>3.85</v>
      </c>
      <c r="C45" s="18" t="n">
        <f aca="false">IF(ISNUMBER(B45),B45,"")</f>
        <v>3.85</v>
      </c>
    </row>
    <row r="46" customFormat="false" ht="15" hidden="false" customHeight="true" outlineLevel="0" collapsed="false">
      <c r="A46" s="10" t="s">
        <v>146</v>
      </c>
      <c r="B46" s="23" t="n">
        <v>2.2</v>
      </c>
      <c r="C46" s="18" t="n">
        <f aca="false">IF(ISNUMBER(B46),6-B46,"")</f>
        <v>3.8</v>
      </c>
    </row>
    <row r="47" customFormat="false" ht="15" hidden="false" customHeight="true" outlineLevel="0" collapsed="false">
      <c r="A47" s="10" t="s">
        <v>147</v>
      </c>
      <c r="B47" s="23" t="n">
        <v>3.8</v>
      </c>
      <c r="C47" s="18" t="n">
        <f aca="false">IF(ISNUMBER(B47),B47,"")</f>
        <v>3.8</v>
      </c>
    </row>
    <row r="48" customFormat="false" ht="15" hidden="false" customHeight="true" outlineLevel="0" collapsed="false">
      <c r="A48" s="10" t="s">
        <v>148</v>
      </c>
      <c r="B48" s="23" t="n">
        <v>3.7</v>
      </c>
      <c r="C48" s="18" t="n">
        <f aca="false">IF(ISNUMBER(B48),B48,"")</f>
        <v>3.7</v>
      </c>
    </row>
    <row r="49" customFormat="false" ht="15" hidden="false" customHeight="true" outlineLevel="0" collapsed="false">
      <c r="A49" s="10" t="s">
        <v>149</v>
      </c>
      <c r="B49" s="23" t="n">
        <v>3.75</v>
      </c>
      <c r="C49" s="18" t="n">
        <f aca="false">IF(ISNUMBER(B49),B49,"")</f>
        <v>3.75</v>
      </c>
    </row>
    <row r="50" customFormat="false" ht="15" hidden="false" customHeight="true" outlineLevel="0" collapsed="false">
      <c r="A50" s="10" t="s">
        <v>150</v>
      </c>
      <c r="B50" s="23" t="n">
        <v>3.8</v>
      </c>
      <c r="C50" s="18" t="n">
        <f aca="false">IF(ISNUMBER(B50),B50,"")</f>
        <v>3.8</v>
      </c>
    </row>
    <row r="51" customFormat="false" ht="15" hidden="false" customHeight="true" outlineLevel="0" collapsed="false">
      <c r="A51" s="10" t="s">
        <v>151</v>
      </c>
      <c r="B51" s="23" t="n">
        <v>2.3</v>
      </c>
      <c r="C51" s="18" t="n">
        <f aca="false">IF(ISNUMBER(B51),6-B51,"")</f>
        <v>3.7</v>
      </c>
    </row>
    <row r="52" customFormat="false" ht="15" hidden="false" customHeight="true" outlineLevel="0" collapsed="false">
      <c r="A52" s="10" t="s">
        <v>152</v>
      </c>
      <c r="B52" s="21" t="n">
        <v>0.78</v>
      </c>
    </row>
    <row r="53" customFormat="false" ht="15" hidden="false" customHeight="true" outlineLevel="0" collapsed="false">
      <c r="A53" s="10" t="s">
        <v>153</v>
      </c>
      <c r="B53" s="16" t="n">
        <f aca="false">IF(COUNT(C37:C41)=0,"",(AVERAGE(C37:C41)-1)*25)</f>
        <v>71.75</v>
      </c>
    </row>
    <row r="54" customFormat="false" ht="15" hidden="false" customHeight="true" outlineLevel="0" collapsed="false">
      <c r="A54" s="10" t="s">
        <v>154</v>
      </c>
      <c r="B54" s="16" t="n">
        <f aca="false">IF(COUNT(C42:C46)=0,"",(AVERAGE(C42:C46)-1)*25)</f>
        <v>70.25</v>
      </c>
    </row>
    <row r="55" customFormat="false" ht="15" hidden="false" customHeight="true" outlineLevel="0" collapsed="false">
      <c r="A55" s="10" t="s">
        <v>155</v>
      </c>
      <c r="B55" s="16" t="n">
        <f aca="false">IF(COUNT(C47:C51)=0,"",(AVERAGE(C47:C51)-1)*25)</f>
        <v>68.75</v>
      </c>
    </row>
    <row r="56" customFormat="false" ht="15" hidden="false" customHeight="true" outlineLevel="0" collapsed="false">
      <c r="A56" s="4" t="s">
        <v>156</v>
      </c>
      <c r="B56" s="4"/>
      <c r="C56" s="4"/>
      <c r="D56" s="19" t="n">
        <f aca="false">IFERROR(0.35*B53+0.35*B54+0.3*B55,"")</f>
        <v>70.325</v>
      </c>
    </row>
    <row r="58" customFormat="false" ht="15" hidden="false" customHeight="true" outlineLevel="0" collapsed="false">
      <c r="A58" s="9" t="s">
        <v>157</v>
      </c>
      <c r="B58" s="9"/>
      <c r="C58" s="9"/>
      <c r="D58" s="9"/>
      <c r="E58" s="9"/>
      <c r="F58" s="9"/>
      <c r="G58" s="9"/>
      <c r="H58" s="9"/>
    </row>
    <row r="59" customFormat="false" ht="15" hidden="false" customHeight="true" outlineLevel="0" collapsed="false">
      <c r="A59" s="10" t="s">
        <v>158</v>
      </c>
      <c r="B59" s="11" t="n">
        <v>80</v>
      </c>
    </row>
    <row r="60" customFormat="false" ht="15" hidden="false" customHeight="true" outlineLevel="0" collapsed="false">
      <c r="A60" s="10" t="s">
        <v>159</v>
      </c>
      <c r="B60" s="11" t="n">
        <v>78</v>
      </c>
    </row>
    <row r="61" customFormat="false" ht="23.25" hidden="false" customHeight="true" outlineLevel="0" collapsed="false">
      <c r="A61" s="10" t="s">
        <v>160</v>
      </c>
      <c r="B61" s="11"/>
    </row>
    <row r="62" customFormat="false" ht="15" hidden="false" customHeight="true" outlineLevel="0" collapsed="false">
      <c r="A62" s="10" t="s">
        <v>161</v>
      </c>
      <c r="B62" s="20"/>
    </row>
    <row r="63" customFormat="false" ht="15" hidden="false" customHeight="true" outlineLevel="0" collapsed="false">
      <c r="A63" s="4" t="s">
        <v>162</v>
      </c>
      <c r="B63" s="4"/>
      <c r="C63" s="4"/>
      <c r="D63" s="19" t="n">
        <f aca="false">IF('Tier Assignment'!$B$9="Insufficient data","",IF('Tier Assignment'!$B$9="Tier 3",IF(ISNUMBER(B62),B62,""),IF(AND(ISNUMBER(B62),COUNT(B59:B61)&gt;0),AVERAGE(B59:B61)*0.6+B62*0.4,IF(COUNT(B59:B61)&gt;0,AVERAGE(B59:B61),IF(ISNUMBER(B62),B62,"")))))</f>
        <v>79</v>
      </c>
    </row>
  </sheetData>
  <sheetProtection sheet="true" formatCells="false"/>
  <mergeCells count="18">
    <mergeCell ref="A1:H1"/>
    <mergeCell ref="A2:H2"/>
    <mergeCell ref="A4:H4"/>
    <mergeCell ref="A5:H5"/>
    <mergeCell ref="A10:C10"/>
    <mergeCell ref="A11:C11"/>
    <mergeCell ref="A12:C12"/>
    <mergeCell ref="A13:C13"/>
    <mergeCell ref="A15:C15"/>
    <mergeCell ref="A17:H17"/>
    <mergeCell ref="A23:C23"/>
    <mergeCell ref="A24:C24"/>
    <mergeCell ref="A26:H26"/>
    <mergeCell ref="A33:C33"/>
    <mergeCell ref="A35:H35"/>
    <mergeCell ref="A56:C56"/>
    <mergeCell ref="A58:H58"/>
    <mergeCell ref="A63:C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  <col collapsed="false" customWidth="true" hidden="false" outlineLevel="0" max="4" min="4" style="1" width="18"/>
  </cols>
  <sheetData>
    <row r="1" customFormat="false" ht="19.5" hidden="false" customHeight="true" outlineLevel="0" collapsed="false">
      <c r="A1" s="2" t="s">
        <v>163</v>
      </c>
      <c r="B1" s="2"/>
      <c r="C1" s="2"/>
      <c r="D1" s="2"/>
    </row>
    <row r="2" customFormat="false" ht="26.25" hidden="false" customHeight="true" outlineLevel="0" collapsed="false">
      <c r="A2" s="3" t="s">
        <v>164</v>
      </c>
      <c r="B2" s="3"/>
      <c r="C2" s="3"/>
      <c r="D2" s="3"/>
    </row>
    <row r="4" customFormat="false" ht="23.25" hidden="false" customHeight="true" outlineLevel="0" collapsed="false">
      <c r="A4" s="9" t="s">
        <v>165</v>
      </c>
      <c r="B4" s="9"/>
      <c r="C4" s="9"/>
      <c r="D4" s="9"/>
    </row>
    <row r="5" customFormat="false" ht="15" hidden="false" customHeight="true" outlineLevel="0" collapsed="false">
      <c r="A5" s="14" t="s">
        <v>166</v>
      </c>
      <c r="B5" s="14"/>
      <c r="C5" s="14"/>
      <c r="D5" s="20" t="n">
        <v>72</v>
      </c>
    </row>
    <row r="6" customFormat="false" ht="15" hidden="false" customHeight="true" outlineLevel="0" collapsed="false">
      <c r="A6" s="14" t="s">
        <v>167</v>
      </c>
      <c r="B6" s="14"/>
      <c r="C6" s="14"/>
    </row>
    <row r="7" customFormat="false" ht="15" hidden="false" customHeight="true" outlineLevel="0" collapsed="false">
      <c r="A7" s="9" t="s">
        <v>133</v>
      </c>
      <c r="B7" s="9" t="s">
        <v>134</v>
      </c>
      <c r="C7" s="9" t="s">
        <v>135</v>
      </c>
    </row>
    <row r="8" customFormat="false" ht="15" hidden="false" customHeight="true" outlineLevel="0" collapsed="false">
      <c r="A8" s="10" t="s">
        <v>168</v>
      </c>
      <c r="B8" s="23" t="n">
        <v>3.9</v>
      </c>
      <c r="C8" s="18" t="n">
        <f aca="false">IF(ISNUMBER(B8),B8,"")</f>
        <v>3.9</v>
      </c>
    </row>
    <row r="9" customFormat="false" ht="15" hidden="false" customHeight="true" outlineLevel="0" collapsed="false">
      <c r="A9" s="10" t="s">
        <v>169</v>
      </c>
      <c r="B9" s="23" t="n">
        <v>3.8</v>
      </c>
      <c r="C9" s="18" t="n">
        <f aca="false">IF(ISNUMBER(B9),B9,"")</f>
        <v>3.8</v>
      </c>
    </row>
    <row r="10" customFormat="false" ht="15" hidden="false" customHeight="true" outlineLevel="0" collapsed="false">
      <c r="A10" s="10" t="s">
        <v>170</v>
      </c>
      <c r="B10" s="23" t="n">
        <v>4</v>
      </c>
      <c r="C10" s="18" t="n">
        <f aca="false">IF(ISNUMBER(B10),B10,"")</f>
        <v>4</v>
      </c>
    </row>
    <row r="11" customFormat="false" ht="15" hidden="false" customHeight="true" outlineLevel="0" collapsed="false">
      <c r="A11" s="10" t="s">
        <v>171</v>
      </c>
      <c r="B11" s="23" t="n">
        <v>2.1</v>
      </c>
      <c r="C11" s="18" t="n">
        <f aca="false">IF(ISNUMBER(B11),6-B11,"")</f>
        <v>3.9</v>
      </c>
    </row>
    <row r="12" customFormat="false" ht="15" hidden="false" customHeight="true" outlineLevel="0" collapsed="false">
      <c r="A12" s="10" t="s">
        <v>172</v>
      </c>
      <c r="B12" s="23" t="n">
        <v>3.85</v>
      </c>
      <c r="C12" s="18" t="n">
        <f aca="false">IF(ISNUMBER(B12),B12,"")</f>
        <v>3.85</v>
      </c>
    </row>
    <row r="13" customFormat="false" ht="15" hidden="false" customHeight="true" outlineLevel="0" collapsed="false">
      <c r="A13" s="10" t="s">
        <v>173</v>
      </c>
      <c r="B13" s="23" t="n">
        <v>3.9</v>
      </c>
      <c r="C13" s="18" t="n">
        <f aca="false">IF(ISNUMBER(B13),B13,"")</f>
        <v>3.9</v>
      </c>
    </row>
    <row r="14" customFormat="false" ht="15" hidden="false" customHeight="true" outlineLevel="0" collapsed="false">
      <c r="A14" s="10" t="s">
        <v>174</v>
      </c>
      <c r="B14" s="23" t="n">
        <v>3.8</v>
      </c>
      <c r="C14" s="18" t="n">
        <f aca="false">IF(ISNUMBER(B14),B14,"")</f>
        <v>3.8</v>
      </c>
    </row>
    <row r="15" customFormat="false" ht="15" hidden="false" customHeight="true" outlineLevel="0" collapsed="false">
      <c r="A15" s="10" t="s">
        <v>175</v>
      </c>
      <c r="B15" s="23" t="n">
        <v>4</v>
      </c>
      <c r="C15" s="18" t="n">
        <f aca="false">IF(ISNUMBER(B15),B15,"")</f>
        <v>4</v>
      </c>
    </row>
    <row r="16" customFormat="false" ht="15" hidden="false" customHeight="true" outlineLevel="0" collapsed="false">
      <c r="A16" s="10" t="s">
        <v>152</v>
      </c>
      <c r="B16" s="21" t="n">
        <v>0.78</v>
      </c>
    </row>
    <row r="17" customFormat="false" ht="15" hidden="false" customHeight="true" outlineLevel="0" collapsed="false">
      <c r="A17" s="4" t="s">
        <v>176</v>
      </c>
      <c r="B17" s="4"/>
      <c r="C17" s="4"/>
      <c r="D17" s="19" t="n">
        <f aca="false">IF(COUNT(C8:C15)=0,"",(AVERAGE(C8:C15)-1)*25)</f>
        <v>72.34375</v>
      </c>
    </row>
    <row r="19" customFormat="false" ht="15" hidden="false" customHeight="true" outlineLevel="0" collapsed="false">
      <c r="A19" s="4" t="s">
        <v>177</v>
      </c>
      <c r="B19" s="4"/>
      <c r="C19" s="4"/>
      <c r="D19" s="19" t="n">
        <f aca="false">IF('Tier Assignment'!$B$10="Insufficient data","",IF('Tier Assignment'!$B$10="Tier 3",D17,D5))</f>
        <v>72</v>
      </c>
    </row>
    <row r="21" customFormat="false" ht="15" hidden="false" customHeight="true" outlineLevel="0" collapsed="false">
      <c r="A21" s="9" t="s">
        <v>178</v>
      </c>
      <c r="B21" s="9"/>
      <c r="C21" s="9"/>
      <c r="D21" s="9"/>
    </row>
    <row r="22" customFormat="false" ht="15" hidden="false" customHeight="true" outlineLevel="0" collapsed="false">
      <c r="A22" s="9" t="s">
        <v>133</v>
      </c>
      <c r="B22" s="9" t="s">
        <v>134</v>
      </c>
      <c r="C22" s="9" t="s">
        <v>135</v>
      </c>
    </row>
    <row r="23" customFormat="false" ht="15" hidden="false" customHeight="true" outlineLevel="0" collapsed="false">
      <c r="A23" s="10" t="s">
        <v>179</v>
      </c>
      <c r="B23" s="23" t="n">
        <v>4</v>
      </c>
      <c r="C23" s="18" t="n">
        <f aca="false">IF(ISNUMBER(B23),B23,"")</f>
        <v>4</v>
      </c>
    </row>
    <row r="24" customFormat="false" ht="15" hidden="false" customHeight="true" outlineLevel="0" collapsed="false">
      <c r="A24" s="10" t="s">
        <v>180</v>
      </c>
      <c r="B24" s="23" t="n">
        <v>3.9</v>
      </c>
      <c r="C24" s="18" t="n">
        <f aca="false">IF(ISNUMBER(B24),B24,"")</f>
        <v>3.9</v>
      </c>
    </row>
    <row r="25" customFormat="false" ht="15" hidden="false" customHeight="true" outlineLevel="0" collapsed="false">
      <c r="A25" s="10" t="s">
        <v>181</v>
      </c>
      <c r="B25" s="23" t="n">
        <v>4.1</v>
      </c>
      <c r="C25" s="18" t="n">
        <f aca="false">IF(ISNUMBER(B25),B25,"")</f>
        <v>4.1</v>
      </c>
    </row>
    <row r="26" customFormat="false" ht="15" hidden="false" customHeight="true" outlineLevel="0" collapsed="false">
      <c r="A26" s="10" t="s">
        <v>182</v>
      </c>
      <c r="B26" s="23" t="n">
        <v>4</v>
      </c>
      <c r="C26" s="18" t="n">
        <f aca="false">IF(ISNUMBER(B26),B26,"")</f>
        <v>4</v>
      </c>
    </row>
    <row r="27" customFormat="false" ht="15" hidden="false" customHeight="true" outlineLevel="0" collapsed="false">
      <c r="A27" s="10" t="s">
        <v>183</v>
      </c>
      <c r="B27" s="23" t="n">
        <v>2</v>
      </c>
      <c r="C27" s="18" t="n">
        <f aca="false">IF(ISNUMBER(B27),6-B27,"")</f>
        <v>4</v>
      </c>
    </row>
    <row r="28" customFormat="false" ht="15" hidden="false" customHeight="true" outlineLevel="0" collapsed="false">
      <c r="A28" s="10" t="s">
        <v>152</v>
      </c>
      <c r="B28" s="21" t="n">
        <v>0.78</v>
      </c>
    </row>
    <row r="29" customFormat="false" ht="15" hidden="false" customHeight="true" outlineLevel="0" collapsed="false">
      <c r="A29" s="4" t="s">
        <v>184</v>
      </c>
      <c r="B29" s="4"/>
      <c r="C29" s="4"/>
      <c r="D29" s="19" t="n">
        <f aca="false">IF(COUNT(C23:C27)=0,"",(AVERAGE(C23:C27)-1)*25)</f>
        <v>75</v>
      </c>
    </row>
    <row r="31" customFormat="false" ht="15" hidden="false" customHeight="true" outlineLevel="0" collapsed="false">
      <c r="A31" s="9" t="s">
        <v>185</v>
      </c>
      <c r="B31" s="9"/>
      <c r="C31" s="9"/>
      <c r="D31" s="9"/>
    </row>
    <row r="32" customFormat="false" ht="15" hidden="false" customHeight="true" outlineLevel="0" collapsed="false">
      <c r="A32" s="9" t="s">
        <v>133</v>
      </c>
      <c r="B32" s="9" t="s">
        <v>134</v>
      </c>
      <c r="C32" s="9" t="s">
        <v>135</v>
      </c>
    </row>
    <row r="33" customFormat="false" ht="15" hidden="false" customHeight="true" outlineLevel="0" collapsed="false">
      <c r="A33" s="10" t="s">
        <v>186</v>
      </c>
      <c r="B33" s="23" t="n">
        <v>3.7</v>
      </c>
      <c r="C33" s="18" t="n">
        <f aca="false">IF(ISNUMBER(B33),B33,"")</f>
        <v>3.7</v>
      </c>
    </row>
    <row r="34" customFormat="false" ht="15" hidden="false" customHeight="true" outlineLevel="0" collapsed="false">
      <c r="A34" s="10" t="s">
        <v>187</v>
      </c>
      <c r="B34" s="23" t="n">
        <v>3.6</v>
      </c>
      <c r="C34" s="18" t="n">
        <f aca="false">IF(ISNUMBER(B34),B34,"")</f>
        <v>3.6</v>
      </c>
    </row>
    <row r="35" customFormat="false" ht="15" hidden="false" customHeight="true" outlineLevel="0" collapsed="false">
      <c r="A35" s="10" t="s">
        <v>188</v>
      </c>
      <c r="B35" s="23" t="n">
        <v>3.5</v>
      </c>
      <c r="C35" s="18" t="n">
        <f aca="false">IF(ISNUMBER(B35),B35,"")</f>
        <v>3.5</v>
      </c>
    </row>
    <row r="36" customFormat="false" ht="15" hidden="false" customHeight="true" outlineLevel="0" collapsed="false">
      <c r="A36" s="10" t="s">
        <v>189</v>
      </c>
      <c r="B36" s="23" t="n">
        <v>2.3</v>
      </c>
      <c r="C36" s="18" t="n">
        <f aca="false">IF(ISNUMBER(B36),6-B36,"")</f>
        <v>3.7</v>
      </c>
    </row>
    <row r="37" customFormat="false" ht="15" hidden="false" customHeight="true" outlineLevel="0" collapsed="false">
      <c r="A37" s="10" t="s">
        <v>190</v>
      </c>
      <c r="B37" s="23" t="n">
        <v>3.9</v>
      </c>
      <c r="C37" s="18" t="n">
        <f aca="false">IF(ISNUMBER(B37),B37,"")</f>
        <v>3.9</v>
      </c>
    </row>
    <row r="38" customFormat="false" ht="15" hidden="false" customHeight="true" outlineLevel="0" collapsed="false">
      <c r="A38" s="10" t="s">
        <v>152</v>
      </c>
      <c r="B38" s="21" t="n">
        <v>0.76</v>
      </c>
    </row>
    <row r="39" customFormat="false" ht="15" hidden="false" customHeight="true" outlineLevel="0" collapsed="false">
      <c r="A39" s="4" t="s">
        <v>191</v>
      </c>
      <c r="B39" s="4"/>
      <c r="C39" s="4"/>
      <c r="D39" s="19" t="n">
        <f aca="false">IF(COUNT(C33:C37)=0,"",(AVERAGE(C33:C37)-1)*25)</f>
        <v>67</v>
      </c>
    </row>
    <row r="41" customFormat="false" ht="15" hidden="false" customHeight="true" outlineLevel="0" collapsed="false">
      <c r="A41" s="9" t="s">
        <v>192</v>
      </c>
      <c r="B41" s="9"/>
      <c r="C41" s="9"/>
      <c r="D41" s="9"/>
    </row>
    <row r="42" customFormat="false" ht="15" hidden="false" customHeight="true" outlineLevel="0" collapsed="false">
      <c r="A42" s="9" t="s">
        <v>133</v>
      </c>
      <c r="B42" s="9" t="s">
        <v>134</v>
      </c>
      <c r="C42" s="9" t="s">
        <v>135</v>
      </c>
    </row>
    <row r="43" customFormat="false" ht="15" hidden="false" customHeight="true" outlineLevel="0" collapsed="false">
      <c r="A43" s="10" t="s">
        <v>193</v>
      </c>
      <c r="B43" s="23" t="n">
        <v>3.5</v>
      </c>
      <c r="C43" s="18" t="n">
        <f aca="false">IF(ISNUMBER(B43),B43,"")</f>
        <v>3.5</v>
      </c>
    </row>
    <row r="44" customFormat="false" ht="15" hidden="false" customHeight="true" outlineLevel="0" collapsed="false">
      <c r="A44" s="10" t="s">
        <v>194</v>
      </c>
      <c r="B44" s="23" t="n">
        <v>3.4</v>
      </c>
      <c r="C44" s="18" t="n">
        <f aca="false">IF(ISNUMBER(B44),B44,"")</f>
        <v>3.4</v>
      </c>
    </row>
    <row r="45" customFormat="false" ht="15" hidden="false" customHeight="true" outlineLevel="0" collapsed="false">
      <c r="A45" s="10" t="s">
        <v>195</v>
      </c>
      <c r="B45" s="23" t="n">
        <v>3.3</v>
      </c>
      <c r="C45" s="18" t="n">
        <f aca="false">IF(ISNUMBER(B45),B45,"")</f>
        <v>3.3</v>
      </c>
    </row>
    <row r="46" customFormat="false" ht="15" hidden="false" customHeight="true" outlineLevel="0" collapsed="false">
      <c r="A46" s="10" t="s">
        <v>196</v>
      </c>
      <c r="B46" s="23" t="n">
        <v>2.6</v>
      </c>
      <c r="C46" s="18" t="n">
        <f aca="false">IF(ISNUMBER(B46),6-B46,"")</f>
        <v>3.4</v>
      </c>
    </row>
    <row r="47" customFormat="false" ht="15" hidden="false" customHeight="true" outlineLevel="0" collapsed="false">
      <c r="A47" s="10" t="s">
        <v>152</v>
      </c>
      <c r="B47" s="21" t="n">
        <v>0.76</v>
      </c>
    </row>
    <row r="48" customFormat="false" ht="15" hidden="false" customHeight="true" outlineLevel="0" collapsed="false">
      <c r="A48" s="4" t="s">
        <v>197</v>
      </c>
      <c r="B48" s="4"/>
      <c r="C48" s="4"/>
      <c r="D48" s="19" t="n">
        <f aca="false">IF(COUNT(C43:C46)=0,"",(AVERAGE(C43:C46)-1)*25)</f>
        <v>60</v>
      </c>
    </row>
    <row r="50" customFormat="false" ht="15" hidden="false" customHeight="true" outlineLevel="0" collapsed="false">
      <c r="A50" s="9" t="s">
        <v>198</v>
      </c>
      <c r="B50" s="9"/>
      <c r="C50" s="9"/>
      <c r="D50" s="9"/>
    </row>
    <row r="51" customFormat="false" ht="15" hidden="false" customHeight="true" outlineLevel="0" collapsed="false">
      <c r="A51" s="9" t="s">
        <v>199</v>
      </c>
      <c r="B51" s="9" t="s">
        <v>200</v>
      </c>
      <c r="C51" s="9" t="s">
        <v>201</v>
      </c>
      <c r="D51" s="9" t="s">
        <v>202</v>
      </c>
    </row>
    <row r="52" customFormat="false" ht="15" hidden="false" customHeight="true" outlineLevel="0" collapsed="false">
      <c r="A52" s="10" t="s">
        <v>203</v>
      </c>
      <c r="B52" s="23" t="n">
        <v>3.88</v>
      </c>
      <c r="C52" s="16" t="n">
        <f aca="false">IF(ISNUMBER(B52),(B52-1)*25,"")</f>
        <v>72</v>
      </c>
      <c r="D52" s="6" t="str">
        <f aca="false">IF(AND(ISNUMBER(C52),C52&lt;60),"CRITICAL FINDING","")</f>
        <v/>
      </c>
    </row>
    <row r="53" customFormat="false" ht="15" hidden="false" customHeight="true" outlineLevel="0" collapsed="false">
      <c r="A53" s="10" t="s">
        <v>204</v>
      </c>
      <c r="B53" s="23" t="n">
        <v>4.12</v>
      </c>
      <c r="C53" s="16" t="n">
        <f aca="false">IF(ISNUMBER(B53),(B53-1)*25,"")</f>
        <v>78</v>
      </c>
      <c r="D53" s="6" t="str">
        <f aca="false">IF(AND(ISNUMBER(C53),C53&lt;60),"CRITICAL FINDING","")</f>
        <v/>
      </c>
    </row>
    <row r="54" customFormat="false" ht="15" hidden="false" customHeight="true" outlineLevel="0" collapsed="false">
      <c r="A54" s="10" t="s">
        <v>205</v>
      </c>
      <c r="B54" s="23" t="n">
        <v>3.32</v>
      </c>
      <c r="C54" s="16" t="n">
        <f aca="false">IF(ISNUMBER(B54),(B54-1)*25,"")</f>
        <v>58</v>
      </c>
      <c r="D54" s="6" t="str">
        <f aca="false">IF(AND(ISNUMBER(C54),C54&lt;60),"CRITICAL FINDING","")</f>
        <v>CRITICAL FINDING</v>
      </c>
    </row>
  </sheetData>
  <sheetProtection sheet="true" formatCells="false"/>
  <mergeCells count="14">
    <mergeCell ref="A1:D1"/>
    <mergeCell ref="A2:D2"/>
    <mergeCell ref="A4:D4"/>
    <mergeCell ref="A5:C5"/>
    <mergeCell ref="A6:C6"/>
    <mergeCell ref="A17:C17"/>
    <mergeCell ref="A19:C19"/>
    <mergeCell ref="A21:D21"/>
    <mergeCell ref="A29:C29"/>
    <mergeCell ref="A31:D31"/>
    <mergeCell ref="A39:C39"/>
    <mergeCell ref="A41:D41"/>
    <mergeCell ref="A48:C48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6"/>
  </cols>
  <sheetData>
    <row r="1" customFormat="false" ht="19.5" hidden="false" customHeight="true" outlineLevel="0" collapsed="false">
      <c r="A1" s="2" t="s">
        <v>206</v>
      </c>
      <c r="B1" s="2"/>
      <c r="C1" s="2"/>
      <c r="D1" s="2"/>
    </row>
    <row r="2" customFormat="false" ht="39" hidden="false" customHeight="true" outlineLevel="0" collapsed="false">
      <c r="A2" s="3" t="s">
        <v>207</v>
      </c>
      <c r="B2" s="3"/>
      <c r="C2" s="3"/>
      <c r="D2" s="3"/>
    </row>
    <row r="4" customFormat="false" ht="15" hidden="false" customHeight="true" outlineLevel="0" collapsed="false">
      <c r="A4" s="9" t="s">
        <v>208</v>
      </c>
      <c r="B4" s="9"/>
      <c r="C4" s="9"/>
      <c r="D4" s="9"/>
    </row>
    <row r="5" customFormat="false" ht="15" hidden="false" customHeight="true" outlineLevel="0" collapsed="false">
      <c r="A5" s="10" t="s">
        <v>209</v>
      </c>
      <c r="B5" s="10"/>
      <c r="C5" s="10"/>
      <c r="D5" s="20" t="n">
        <v>62</v>
      </c>
    </row>
    <row r="6" customFormat="false" ht="15" hidden="false" customHeight="true" outlineLevel="0" collapsed="false">
      <c r="A6" s="10" t="s">
        <v>210</v>
      </c>
      <c r="B6" s="10"/>
      <c r="C6" s="10"/>
      <c r="D6" s="20" t="n">
        <v>60</v>
      </c>
    </row>
    <row r="7" customFormat="false" ht="15" hidden="false" customHeight="true" outlineLevel="0" collapsed="false">
      <c r="A7" s="10" t="s">
        <v>211</v>
      </c>
      <c r="B7" s="10"/>
      <c r="C7" s="10"/>
      <c r="D7" s="20" t="n">
        <v>65</v>
      </c>
    </row>
    <row r="8" customFormat="false" ht="15" hidden="false" customHeight="true" outlineLevel="0" collapsed="false">
      <c r="A8" s="7" t="s">
        <v>212</v>
      </c>
      <c r="B8" s="7"/>
      <c r="C8" s="7"/>
      <c r="D8" s="16" t="n">
        <f aca="false">IFERROR(0.4*D5+0.3*D6+0.3*D7,"")</f>
        <v>62.3</v>
      </c>
    </row>
    <row r="9" customFormat="false" ht="15" hidden="false" customHeight="true" outlineLevel="0" collapsed="false">
      <c r="A9" s="14" t="s">
        <v>213</v>
      </c>
      <c r="B9" s="14"/>
      <c r="C9" s="14"/>
    </row>
    <row r="10" customFormat="false" ht="15" hidden="false" customHeight="true" outlineLevel="0" collapsed="false">
      <c r="A10" s="9" t="s">
        <v>133</v>
      </c>
      <c r="B10" s="9" t="s">
        <v>134</v>
      </c>
      <c r="C10" s="9" t="s">
        <v>135</v>
      </c>
    </row>
    <row r="11" customFormat="false" ht="15" hidden="false" customHeight="true" outlineLevel="0" collapsed="false">
      <c r="A11" s="10" t="s">
        <v>214</v>
      </c>
      <c r="B11" s="23" t="n">
        <v>3.5</v>
      </c>
      <c r="C11" s="18" t="n">
        <f aca="false">IF(ISNUMBER(B11),B11,"")</f>
        <v>3.5</v>
      </c>
    </row>
    <row r="12" customFormat="false" ht="15" hidden="false" customHeight="true" outlineLevel="0" collapsed="false">
      <c r="A12" s="10" t="s">
        <v>215</v>
      </c>
      <c r="B12" s="23" t="n">
        <v>3.4</v>
      </c>
      <c r="C12" s="18" t="n">
        <f aca="false">IF(ISNUMBER(B12),B12,"")</f>
        <v>3.4</v>
      </c>
    </row>
    <row r="13" customFormat="false" ht="15" hidden="false" customHeight="true" outlineLevel="0" collapsed="false">
      <c r="A13" s="10" t="s">
        <v>216</v>
      </c>
      <c r="B13" s="23" t="n">
        <v>2.6</v>
      </c>
      <c r="C13" s="18" t="n">
        <f aca="false">IF(ISNUMBER(B13),6-B13,"")</f>
        <v>3.4</v>
      </c>
    </row>
    <row r="14" customFormat="false" ht="15" hidden="false" customHeight="true" outlineLevel="0" collapsed="false">
      <c r="A14" s="10" t="s">
        <v>217</v>
      </c>
      <c r="B14" s="23" t="n">
        <v>3.4</v>
      </c>
      <c r="C14" s="18" t="n">
        <f aca="false">IF(ISNUMBER(B14),B14,"")</f>
        <v>3.4</v>
      </c>
    </row>
    <row r="15" customFormat="false" ht="15" hidden="false" customHeight="true" outlineLevel="0" collapsed="false">
      <c r="A15" s="10" t="s">
        <v>218</v>
      </c>
      <c r="B15" s="23" t="n">
        <v>3.3</v>
      </c>
      <c r="C15" s="18" t="n">
        <f aca="false">IF(ISNUMBER(B15),B15,"")</f>
        <v>3.3</v>
      </c>
    </row>
    <row r="16" customFormat="false" ht="15" hidden="false" customHeight="true" outlineLevel="0" collapsed="false">
      <c r="A16" s="10" t="s">
        <v>219</v>
      </c>
      <c r="B16" s="23" t="n">
        <v>2.6</v>
      </c>
      <c r="C16" s="18" t="n">
        <f aca="false">IF(ISNUMBER(B16),6-B16,"")</f>
        <v>3.4</v>
      </c>
    </row>
    <row r="17" customFormat="false" ht="15" hidden="false" customHeight="true" outlineLevel="0" collapsed="false">
      <c r="A17" s="10" t="s">
        <v>220</v>
      </c>
      <c r="B17" s="23" t="n">
        <v>3.4</v>
      </c>
      <c r="C17" s="18" t="n">
        <f aca="false">IF(ISNUMBER(B17),B17,"")</f>
        <v>3.4</v>
      </c>
    </row>
    <row r="18" customFormat="false" ht="15" hidden="false" customHeight="true" outlineLevel="0" collapsed="false">
      <c r="A18" s="10" t="s">
        <v>221</v>
      </c>
      <c r="B18" s="23" t="n">
        <v>3.45</v>
      </c>
      <c r="C18" s="18" t="n">
        <f aca="false">IF(ISNUMBER(B18),B18,"")</f>
        <v>3.45</v>
      </c>
    </row>
    <row r="19" customFormat="false" ht="15" hidden="false" customHeight="true" outlineLevel="0" collapsed="false">
      <c r="A19" s="10" t="s">
        <v>152</v>
      </c>
      <c r="B19" s="21" t="n">
        <v>0.8</v>
      </c>
    </row>
    <row r="20" customFormat="false" ht="15" hidden="false" customHeight="true" outlineLevel="0" collapsed="false">
      <c r="A20" s="4" t="s">
        <v>222</v>
      </c>
      <c r="B20" s="4"/>
      <c r="C20" s="4"/>
      <c r="D20" s="19" t="n">
        <f aca="false">IF(COUNT(C11:C18)=0,"",(AVERAGE(C11:C18)-1)*25)</f>
        <v>60.15625</v>
      </c>
    </row>
    <row r="21" customFormat="false" ht="15" hidden="false" customHeight="true" outlineLevel="0" collapsed="false">
      <c r="A21" s="10" t="s">
        <v>223</v>
      </c>
      <c r="B21" s="10"/>
      <c r="C21" s="10"/>
      <c r="D21" s="16" t="n">
        <f aca="false">IFERROR(D8-D20,"")</f>
        <v>2.14375</v>
      </c>
    </row>
    <row r="22" customFormat="false" ht="15" hidden="false" customHeight="true" outlineLevel="0" collapsed="false">
      <c r="A22" s="10" t="s">
        <v>224</v>
      </c>
      <c r="B22" s="10"/>
      <c r="C22" s="10"/>
      <c r="D22" s="6" t="str">
        <f aca="false">IF(AND(ISNUMBER(D21),ABS(D21)&gt;15),"GAP - report separately","")</f>
        <v/>
      </c>
    </row>
    <row r="23" customFormat="false" ht="15" hidden="false" customHeight="true" outlineLevel="0" collapsed="false">
      <c r="A23" s="4" t="s">
        <v>225</v>
      </c>
      <c r="B23" s="4"/>
      <c r="C23" s="4"/>
      <c r="D23" s="19" t="n">
        <f aca="false">IFERROR((D8+D20)/2,"")</f>
        <v>61.228125</v>
      </c>
    </row>
    <row r="25" customFormat="false" ht="15" hidden="false" customHeight="true" outlineLevel="0" collapsed="false">
      <c r="A25" s="9" t="s">
        <v>226</v>
      </c>
      <c r="B25" s="9"/>
      <c r="C25" s="9"/>
      <c r="D25" s="9"/>
    </row>
    <row r="26" customFormat="false" ht="15" hidden="false" customHeight="true" outlineLevel="0" collapsed="false">
      <c r="A26" s="10" t="s">
        <v>227</v>
      </c>
      <c r="B26" s="10"/>
      <c r="C26" s="10"/>
      <c r="D26" s="20" t="n">
        <v>80</v>
      </c>
    </row>
    <row r="27" customFormat="false" ht="15" hidden="false" customHeight="true" outlineLevel="0" collapsed="false">
      <c r="A27" s="10" t="s">
        <v>228</v>
      </c>
      <c r="B27" s="10"/>
      <c r="C27" s="10"/>
      <c r="D27" s="20" t="n">
        <v>70</v>
      </c>
    </row>
    <row r="28" customFormat="false" ht="15" hidden="false" customHeight="true" outlineLevel="0" collapsed="false">
      <c r="A28" s="10" t="s">
        <v>229</v>
      </c>
      <c r="B28" s="10"/>
      <c r="C28" s="10"/>
      <c r="D28" s="20" t="n">
        <v>70</v>
      </c>
    </row>
    <row r="29" customFormat="false" ht="15" hidden="false" customHeight="true" outlineLevel="0" collapsed="false">
      <c r="A29" s="7" t="s">
        <v>230</v>
      </c>
      <c r="B29" s="7"/>
      <c r="C29" s="7"/>
      <c r="D29" s="16" t="n">
        <f aca="false">IFERROR(0.35*D26+0.4*D27+0.25*D28,"")</f>
        <v>73.5</v>
      </c>
    </row>
    <row r="30" customFormat="false" ht="15" hidden="false" customHeight="true" outlineLevel="0" collapsed="false">
      <c r="A30" s="14" t="s">
        <v>231</v>
      </c>
      <c r="B30" s="14"/>
      <c r="C30" s="14"/>
    </row>
    <row r="31" customFormat="false" ht="15" hidden="false" customHeight="true" outlineLevel="0" collapsed="false">
      <c r="A31" s="9" t="s">
        <v>133</v>
      </c>
      <c r="B31" s="9" t="s">
        <v>134</v>
      </c>
      <c r="C31" s="9" t="s">
        <v>135</v>
      </c>
    </row>
    <row r="32" customFormat="false" ht="15" hidden="false" customHeight="true" outlineLevel="0" collapsed="false">
      <c r="A32" s="10" t="s">
        <v>232</v>
      </c>
      <c r="B32" s="23" t="n">
        <v>3.7</v>
      </c>
      <c r="C32" s="18" t="n">
        <f aca="false">IF(ISNUMBER(B32),B32,"")</f>
        <v>3.7</v>
      </c>
    </row>
    <row r="33" customFormat="false" ht="15" hidden="false" customHeight="true" outlineLevel="0" collapsed="false">
      <c r="A33" s="10" t="s">
        <v>233</v>
      </c>
      <c r="B33" s="23" t="n">
        <v>3.6</v>
      </c>
      <c r="C33" s="18" t="n">
        <f aca="false">IF(ISNUMBER(B33),B33,"")</f>
        <v>3.6</v>
      </c>
    </row>
    <row r="34" customFormat="false" ht="15" hidden="false" customHeight="true" outlineLevel="0" collapsed="false">
      <c r="A34" s="10" t="s">
        <v>234</v>
      </c>
      <c r="B34" s="23" t="n">
        <v>3.5</v>
      </c>
      <c r="C34" s="18" t="n">
        <f aca="false">IF(ISNUMBER(B34),B34,"")</f>
        <v>3.5</v>
      </c>
    </row>
    <row r="35" customFormat="false" ht="15" hidden="false" customHeight="true" outlineLevel="0" collapsed="false">
      <c r="A35" s="10" t="s">
        <v>235</v>
      </c>
      <c r="B35" s="23" t="n">
        <v>2.4</v>
      </c>
      <c r="C35" s="18" t="n">
        <f aca="false">IF(ISNUMBER(B35),6-B35,"")</f>
        <v>3.6</v>
      </c>
    </row>
    <row r="36" customFormat="false" ht="15" hidden="false" customHeight="true" outlineLevel="0" collapsed="false">
      <c r="A36" s="10" t="s">
        <v>152</v>
      </c>
      <c r="B36" s="21" t="n">
        <v>0.82</v>
      </c>
    </row>
    <row r="37" customFormat="false" ht="15" hidden="false" customHeight="true" outlineLevel="0" collapsed="false">
      <c r="A37" s="4" t="s">
        <v>236</v>
      </c>
      <c r="B37" s="4"/>
      <c r="C37" s="4"/>
      <c r="D37" s="19" t="n">
        <f aca="false">IF(COUNT(C32:C35)=0,"",(AVERAGE(C32:C35)-1)*25)</f>
        <v>65</v>
      </c>
    </row>
    <row r="38" customFormat="false" ht="15" hidden="false" customHeight="true" outlineLevel="0" collapsed="false">
      <c r="A38" s="10" t="s">
        <v>237</v>
      </c>
      <c r="B38" s="10"/>
      <c r="C38" s="10"/>
      <c r="D38" s="16" t="n">
        <f aca="false">IFERROR(D29-D37,"")</f>
        <v>8.5</v>
      </c>
    </row>
    <row r="39" customFormat="false" ht="15" hidden="false" customHeight="true" outlineLevel="0" collapsed="false">
      <c r="A39" s="10" t="s">
        <v>238</v>
      </c>
      <c r="B39" s="10"/>
      <c r="C39" s="10"/>
      <c r="D39" s="6" t="str">
        <f aca="false">IF(AND(ISNUMBER(D38),ABS(D38)&gt;15),"GAP - report separately","")</f>
        <v/>
      </c>
    </row>
    <row r="40" customFormat="false" ht="15" hidden="false" customHeight="true" outlineLevel="0" collapsed="false">
      <c r="A40" s="4" t="s">
        <v>239</v>
      </c>
      <c r="B40" s="4"/>
      <c r="C40" s="4"/>
      <c r="D40" s="19" t="n">
        <f aca="false">IFERROR((D29+D37)/2,"")</f>
        <v>69.25</v>
      </c>
    </row>
    <row r="42" customFormat="false" ht="15" hidden="false" customHeight="true" outlineLevel="0" collapsed="false">
      <c r="A42" s="9" t="s">
        <v>240</v>
      </c>
      <c r="B42" s="9"/>
      <c r="C42" s="9"/>
      <c r="D42" s="9"/>
    </row>
    <row r="43" customFormat="false" ht="15" hidden="false" customHeight="true" outlineLevel="0" collapsed="false">
      <c r="A43" s="10" t="s">
        <v>241</v>
      </c>
      <c r="B43" s="10"/>
      <c r="C43" s="10"/>
      <c r="D43" s="20" t="n">
        <v>60</v>
      </c>
    </row>
    <row r="44" customFormat="false" ht="15" hidden="false" customHeight="true" outlineLevel="0" collapsed="false">
      <c r="A44" s="7" t="s">
        <v>242</v>
      </c>
      <c r="B44" s="7"/>
      <c r="C44" s="7"/>
      <c r="D44" s="16" t="n">
        <f aca="false">IFERROR(D43,"")</f>
        <v>60</v>
      </c>
    </row>
    <row r="45" customFormat="false" ht="15" hidden="false" customHeight="true" outlineLevel="0" collapsed="false">
      <c r="A45" s="14" t="s">
        <v>243</v>
      </c>
      <c r="B45" s="14"/>
      <c r="C45" s="14"/>
    </row>
    <row r="46" customFormat="false" ht="15" hidden="false" customHeight="true" outlineLevel="0" collapsed="false">
      <c r="A46" s="9" t="s">
        <v>133</v>
      </c>
      <c r="B46" s="9" t="s">
        <v>134</v>
      </c>
      <c r="C46" s="9" t="s">
        <v>135</v>
      </c>
    </row>
    <row r="47" customFormat="false" ht="15" hidden="false" customHeight="true" outlineLevel="0" collapsed="false">
      <c r="A47" s="10" t="s">
        <v>244</v>
      </c>
      <c r="B47" s="23" t="n">
        <v>3.1</v>
      </c>
      <c r="C47" s="18" t="n">
        <f aca="false">IF(ISNUMBER(B47),B47,"")</f>
        <v>3.1</v>
      </c>
    </row>
    <row r="48" customFormat="false" ht="15" hidden="false" customHeight="true" outlineLevel="0" collapsed="false">
      <c r="A48" s="10" t="s">
        <v>245</v>
      </c>
      <c r="B48" s="23" t="n">
        <v>3</v>
      </c>
      <c r="C48" s="18" t="n">
        <f aca="false">IF(ISNUMBER(B48),B48,"")</f>
        <v>3</v>
      </c>
    </row>
    <row r="49" customFormat="false" ht="15" hidden="false" customHeight="true" outlineLevel="0" collapsed="false">
      <c r="A49" s="10" t="s">
        <v>246</v>
      </c>
      <c r="B49" s="23" t="n">
        <v>2.9</v>
      </c>
      <c r="C49" s="18" t="n">
        <f aca="false">IF(ISNUMBER(B49),B49,"")</f>
        <v>2.9</v>
      </c>
    </row>
    <row r="50" customFormat="false" ht="15" hidden="false" customHeight="true" outlineLevel="0" collapsed="false">
      <c r="A50" s="10" t="s">
        <v>247</v>
      </c>
      <c r="B50" s="23" t="n">
        <v>3.1</v>
      </c>
      <c r="C50" s="18" t="n">
        <f aca="false">IF(ISNUMBER(B50),B50,"")</f>
        <v>3.1</v>
      </c>
    </row>
    <row r="51" customFormat="false" ht="15" hidden="false" customHeight="true" outlineLevel="0" collapsed="false">
      <c r="A51" s="10" t="s">
        <v>248</v>
      </c>
      <c r="B51" s="23" t="n">
        <v>3</v>
      </c>
      <c r="C51" s="18" t="n">
        <f aca="false">IF(ISNUMBER(B51),6-B51,"")</f>
        <v>3</v>
      </c>
    </row>
    <row r="52" customFormat="false" ht="15" hidden="false" customHeight="true" outlineLevel="0" collapsed="false">
      <c r="A52" s="10" t="s">
        <v>152</v>
      </c>
      <c r="B52" s="21" t="n">
        <v>0.83</v>
      </c>
    </row>
    <row r="53" customFormat="false" ht="15" hidden="false" customHeight="true" outlineLevel="0" collapsed="false">
      <c r="A53" s="4" t="s">
        <v>249</v>
      </c>
      <c r="B53" s="4"/>
      <c r="C53" s="4"/>
      <c r="D53" s="19" t="n">
        <f aca="false">IF(COUNT(C47:C51)=0,"",(AVERAGE(C47:C51)-1)*25)</f>
        <v>50.5</v>
      </c>
    </row>
    <row r="54" customFormat="false" ht="15" hidden="false" customHeight="true" outlineLevel="0" collapsed="false">
      <c r="A54" s="10" t="s">
        <v>250</v>
      </c>
      <c r="B54" s="10"/>
      <c r="C54" s="10"/>
      <c r="D54" s="16" t="n">
        <f aca="false">IFERROR(D44-D53,"")</f>
        <v>9.5</v>
      </c>
    </row>
    <row r="55" customFormat="false" ht="15" hidden="false" customHeight="true" outlineLevel="0" collapsed="false">
      <c r="A55" s="10" t="s">
        <v>251</v>
      </c>
      <c r="B55" s="10"/>
      <c r="C55" s="10"/>
      <c r="D55" s="6" t="str">
        <f aca="false">IF(AND(ISNUMBER(D54),ABS(D54)&gt;15),"GAP - report separately","")</f>
        <v/>
      </c>
    </row>
    <row r="56" customFormat="false" ht="15" hidden="false" customHeight="true" outlineLevel="0" collapsed="false">
      <c r="A56" s="4" t="s">
        <v>252</v>
      </c>
      <c r="B56" s="4"/>
      <c r="C56" s="4"/>
      <c r="D56" s="19" t="n">
        <f aca="false">IFERROR((D44+D53)/2,"")</f>
        <v>55.25</v>
      </c>
    </row>
    <row r="58" customFormat="false" ht="15" hidden="false" customHeight="true" outlineLevel="0" collapsed="false">
      <c r="A58" s="9" t="s">
        <v>253</v>
      </c>
      <c r="B58" s="9"/>
      <c r="C58" s="9"/>
      <c r="D58" s="9"/>
    </row>
    <row r="59" customFormat="false" ht="15" hidden="false" customHeight="true" outlineLevel="0" collapsed="false">
      <c r="A59" s="10" t="s">
        <v>254</v>
      </c>
      <c r="B59" s="10"/>
      <c r="C59" s="10"/>
      <c r="D59" s="20" t="n">
        <v>55</v>
      </c>
    </row>
    <row r="60" customFormat="false" ht="15" hidden="false" customHeight="true" outlineLevel="0" collapsed="false">
      <c r="A60" s="14" t="s">
        <v>255</v>
      </c>
      <c r="B60" s="14"/>
      <c r="C60" s="14"/>
    </row>
    <row r="61" customFormat="false" ht="15" hidden="false" customHeight="true" outlineLevel="0" collapsed="false">
      <c r="A61" s="9" t="s">
        <v>133</v>
      </c>
      <c r="B61" s="9" t="s">
        <v>134</v>
      </c>
      <c r="C61" s="9" t="s">
        <v>135</v>
      </c>
    </row>
    <row r="62" customFormat="false" ht="15" hidden="false" customHeight="true" outlineLevel="0" collapsed="false">
      <c r="A62" s="10" t="s">
        <v>256</v>
      </c>
      <c r="B62" s="23" t="n">
        <v>2.7</v>
      </c>
      <c r="C62" s="18" t="n">
        <f aca="false">IF(ISNUMBER(B62),B62,"")</f>
        <v>2.7</v>
      </c>
    </row>
    <row r="63" customFormat="false" ht="15" hidden="false" customHeight="true" outlineLevel="0" collapsed="false">
      <c r="A63" s="10" t="s">
        <v>257</v>
      </c>
      <c r="B63" s="23" t="n">
        <v>2.5</v>
      </c>
      <c r="C63" s="18" t="n">
        <f aca="false">IF(ISNUMBER(B63),B63,"")</f>
        <v>2.5</v>
      </c>
    </row>
    <row r="64" customFormat="false" ht="15" hidden="false" customHeight="true" outlineLevel="0" collapsed="false">
      <c r="A64" s="10" t="s">
        <v>258</v>
      </c>
      <c r="B64" s="23" t="n">
        <v>3.4</v>
      </c>
      <c r="C64" s="18" t="n">
        <f aca="false">IF(ISNUMBER(B64),6-B64,"")</f>
        <v>2.6</v>
      </c>
    </row>
    <row r="65" customFormat="false" ht="15" hidden="false" customHeight="true" outlineLevel="0" collapsed="false">
      <c r="A65" s="10" t="s">
        <v>152</v>
      </c>
      <c r="B65" s="21" t="n">
        <v>0.8</v>
      </c>
    </row>
    <row r="66" customFormat="false" ht="15" hidden="false" customHeight="true" outlineLevel="0" collapsed="false">
      <c r="A66" s="4" t="s">
        <v>259</v>
      </c>
      <c r="B66" s="4"/>
      <c r="C66" s="4"/>
      <c r="D66" s="19" t="n">
        <f aca="false">IF(COUNT(C62:C64)=0,"",(AVERAGE(C62:C64)-1)*25)</f>
        <v>40</v>
      </c>
    </row>
    <row r="67" customFormat="false" ht="15" hidden="false" customHeight="true" outlineLevel="0" collapsed="false">
      <c r="A67" s="4" t="s">
        <v>260</v>
      </c>
      <c r="B67" s="4"/>
      <c r="C67" s="4"/>
      <c r="D67" s="19" t="n">
        <f aca="false">IFERROR((D59+D66)/2,"")</f>
        <v>47.5</v>
      </c>
    </row>
    <row r="69" customFormat="false" ht="15" hidden="false" customHeight="true" outlineLevel="0" collapsed="false">
      <c r="A69" s="9" t="s">
        <v>261</v>
      </c>
      <c r="B69" s="9"/>
      <c r="C69" s="9"/>
      <c r="D69" s="9"/>
    </row>
    <row r="70" customFormat="false" ht="15" hidden="false" customHeight="true" outlineLevel="0" collapsed="false">
      <c r="A70" s="9" t="s">
        <v>262</v>
      </c>
      <c r="B70" s="9" t="s">
        <v>263</v>
      </c>
      <c r="C70" s="9" t="s">
        <v>264</v>
      </c>
      <c r="D70" s="14" t="s">
        <v>100</v>
      </c>
    </row>
    <row r="71" customFormat="false" ht="15" hidden="false" customHeight="true" outlineLevel="0" collapsed="false">
      <c r="A71" s="13" t="s">
        <v>265</v>
      </c>
      <c r="B71" s="11" t="n">
        <v>15</v>
      </c>
      <c r="C71" s="20" t="n">
        <v>70</v>
      </c>
      <c r="D71" s="16" t="n">
        <f aca="false">IF(AND(ISNUMBER(B71),ISNUMBER(C71)),B71*C71,0)</f>
        <v>1050</v>
      </c>
    </row>
    <row r="72" customFormat="false" ht="15" hidden="false" customHeight="true" outlineLevel="0" collapsed="false">
      <c r="A72" s="13" t="s">
        <v>266</v>
      </c>
      <c r="B72" s="11" t="n">
        <v>15</v>
      </c>
      <c r="C72" s="20" t="n">
        <v>64</v>
      </c>
      <c r="D72" s="16" t="n">
        <f aca="false">IF(AND(ISNUMBER(B72),ISNUMBER(C72)),B72*C72,0)</f>
        <v>960</v>
      </c>
    </row>
    <row r="73" customFormat="false" ht="15" hidden="false" customHeight="true" outlineLevel="0" collapsed="false">
      <c r="A73" s="13" t="s">
        <v>267</v>
      </c>
      <c r="B73" s="11" t="n">
        <v>15</v>
      </c>
      <c r="C73" s="20" t="n">
        <v>66</v>
      </c>
      <c r="D73" s="16" t="n">
        <f aca="false">IF(AND(ISNUMBER(B73),ISNUMBER(C73)),B73*C73,0)</f>
        <v>990</v>
      </c>
    </row>
    <row r="74" customFormat="false" ht="15" hidden="false" customHeight="true" outlineLevel="0" collapsed="false">
      <c r="A74" s="13" t="s">
        <v>268</v>
      </c>
      <c r="B74" s="11" t="n">
        <v>15</v>
      </c>
      <c r="C74" s="20" t="n">
        <v>64</v>
      </c>
      <c r="D74" s="16" t="n">
        <f aca="false">IF(AND(ISNUMBER(B74),ISNUMBER(C74)),B74*C74,0)</f>
        <v>960</v>
      </c>
    </row>
    <row r="75" customFormat="false" ht="15" hidden="false" customHeight="true" outlineLevel="0" collapsed="false">
      <c r="A75" s="4" t="s">
        <v>269</v>
      </c>
      <c r="B75" s="4"/>
      <c r="C75" s="4"/>
      <c r="D75" s="19" t="n">
        <f aca="false">IFERROR(SUM(D71:D74)/SUMIF(C71:C74,"&gt;0",B71:B74),"")</f>
        <v>66</v>
      </c>
    </row>
  </sheetData>
  <sheetProtection sheet="true" formatCells="false"/>
  <mergeCells count="37">
    <mergeCell ref="A1:D1"/>
    <mergeCell ref="A2:D2"/>
    <mergeCell ref="A4:D4"/>
    <mergeCell ref="A5:C5"/>
    <mergeCell ref="A6:C6"/>
    <mergeCell ref="A7:C7"/>
    <mergeCell ref="A8:C8"/>
    <mergeCell ref="A9:C9"/>
    <mergeCell ref="A20:C20"/>
    <mergeCell ref="A21:C21"/>
    <mergeCell ref="A22:C22"/>
    <mergeCell ref="A23:C23"/>
    <mergeCell ref="A25:D25"/>
    <mergeCell ref="A26:C26"/>
    <mergeCell ref="A27:C27"/>
    <mergeCell ref="A28:C28"/>
    <mergeCell ref="A29:C29"/>
    <mergeCell ref="A30:C30"/>
    <mergeCell ref="A37:C37"/>
    <mergeCell ref="A38:C38"/>
    <mergeCell ref="A39:C39"/>
    <mergeCell ref="A40:C40"/>
    <mergeCell ref="A42:D42"/>
    <mergeCell ref="A43:C43"/>
    <mergeCell ref="A44:C44"/>
    <mergeCell ref="A45:C45"/>
    <mergeCell ref="A53:C53"/>
    <mergeCell ref="A54:C54"/>
    <mergeCell ref="A55:C55"/>
    <mergeCell ref="A56:C56"/>
    <mergeCell ref="A58:D58"/>
    <mergeCell ref="A59:C59"/>
    <mergeCell ref="A60:C60"/>
    <mergeCell ref="A66:C66"/>
    <mergeCell ref="A67:C67"/>
    <mergeCell ref="A69:D69"/>
    <mergeCell ref="A75:C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6"/>
  </cols>
  <sheetData>
    <row r="1" customFormat="false" ht="19.5" hidden="false" customHeight="true" outlineLevel="0" collapsed="false">
      <c r="A1" s="2" t="s">
        <v>270</v>
      </c>
      <c r="B1" s="2"/>
      <c r="C1" s="2"/>
      <c r="D1" s="2"/>
    </row>
    <row r="2" customFormat="false" ht="26.25" hidden="false" customHeight="true" outlineLevel="0" collapsed="false">
      <c r="A2" s="3" t="s">
        <v>271</v>
      </c>
      <c r="B2" s="3"/>
      <c r="C2" s="3"/>
      <c r="D2" s="3"/>
    </row>
    <row r="4" customFormat="false" ht="15" hidden="false" customHeight="true" outlineLevel="0" collapsed="false">
      <c r="A4" s="9" t="s">
        <v>272</v>
      </c>
      <c r="B4" s="9"/>
      <c r="C4" s="9"/>
      <c r="D4" s="9"/>
    </row>
    <row r="5" customFormat="false" ht="15" hidden="false" customHeight="true" outlineLevel="0" collapsed="false">
      <c r="A5" s="10" t="s">
        <v>273</v>
      </c>
      <c r="B5" s="10"/>
      <c r="C5" s="10"/>
      <c r="D5" s="20" t="n">
        <v>90</v>
      </c>
    </row>
    <row r="6" customFormat="false" ht="15" hidden="false" customHeight="true" outlineLevel="0" collapsed="false">
      <c r="A6" s="10" t="s">
        <v>274</v>
      </c>
      <c r="B6" s="10"/>
      <c r="C6" s="10"/>
      <c r="D6" s="20" t="n">
        <v>85</v>
      </c>
    </row>
    <row r="7" customFormat="false" ht="15" hidden="false" customHeight="true" outlineLevel="0" collapsed="false">
      <c r="A7" s="10" t="s">
        <v>275</v>
      </c>
      <c r="B7" s="10"/>
      <c r="C7" s="10"/>
      <c r="D7" s="20" t="n">
        <v>80</v>
      </c>
    </row>
    <row r="8" customFormat="false" ht="15" hidden="false" customHeight="true" outlineLevel="0" collapsed="false">
      <c r="A8" s="4" t="s">
        <v>276</v>
      </c>
      <c r="B8" s="4"/>
      <c r="C8" s="4"/>
      <c r="D8" s="19" t="n">
        <f aca="false">IFERROR(0.4*D5+0.35*D6+0.25*D7,"")</f>
        <v>85.75</v>
      </c>
    </row>
    <row r="10" customFormat="false" ht="15" hidden="false" customHeight="true" outlineLevel="0" collapsed="false">
      <c r="A10" s="9" t="s">
        <v>277</v>
      </c>
      <c r="B10" s="9"/>
      <c r="C10" s="9"/>
      <c r="D10" s="9"/>
    </row>
    <row r="11" customFormat="false" ht="15" hidden="false" customHeight="true" outlineLevel="0" collapsed="false">
      <c r="A11" s="9" t="s">
        <v>278</v>
      </c>
      <c r="B11" s="9" t="s">
        <v>279</v>
      </c>
      <c r="C11" s="9" t="s">
        <v>280</v>
      </c>
      <c r="D11" s="9"/>
    </row>
    <row r="12" customFormat="false" ht="15" hidden="false" customHeight="true" outlineLevel="0" collapsed="false">
      <c r="A12" s="10" t="s">
        <v>281</v>
      </c>
      <c r="B12" s="20" t="n">
        <v>18</v>
      </c>
      <c r="C12" s="17" t="n">
        <f aca="false">IF(NOT(ISNUMBER(B12)),"",IF(B12&lt;15,100,IF(B12&lt;20,80,IF(B12&lt;25,60,IF(B12&lt;30,40,20)))))</f>
        <v>80</v>
      </c>
    </row>
    <row r="13" customFormat="false" ht="15" hidden="false" customHeight="true" outlineLevel="0" collapsed="false">
      <c r="A13" s="10" t="s">
        <v>282</v>
      </c>
      <c r="B13" s="20" t="n">
        <v>32</v>
      </c>
      <c r="C13" s="17" t="n">
        <f aca="false">IF(NOT(ISNUMBER(B13)),"",IF(B13&lt;25,100,IF(B13&lt;35,75,IF(B13&lt;45,50,25))))</f>
        <v>75</v>
      </c>
    </row>
    <row r="14" customFormat="false" ht="15" hidden="false" customHeight="true" outlineLevel="0" collapsed="false">
      <c r="A14" s="10" t="s">
        <v>283</v>
      </c>
      <c r="B14" s="21" t="n">
        <v>0.72</v>
      </c>
      <c r="C14" s="17" t="n">
        <f aca="false">IF(NOT(ISNUMBER(B14)),"",IF(B14&lt;0.5,100,IF(B14&lt;0.65,75,IF(B14&lt;0.8,50,25))))</f>
        <v>50</v>
      </c>
    </row>
    <row r="15" customFormat="false" ht="15" hidden="false" customHeight="true" outlineLevel="0" collapsed="false">
      <c r="A15" s="10" t="s">
        <v>284</v>
      </c>
      <c r="B15" s="20" t="n">
        <v>6</v>
      </c>
      <c r="C15" s="17" t="n">
        <f aca="false">IF(NOT(ISNUMBER(B15)),"",IF(B15&lt;2,100,IF(B15&lt;5,75,IF(B15&lt;10,50,25))))</f>
        <v>50</v>
      </c>
    </row>
    <row r="16" customFormat="false" ht="15" hidden="false" customHeight="true" outlineLevel="0" collapsed="false">
      <c r="A16" s="7" t="s">
        <v>285</v>
      </c>
      <c r="B16" s="7"/>
      <c r="C16" s="16" t="n">
        <f aca="false">IF(COUNT(C12:C15)=0,"",AVERAGE(C12:C15))</f>
        <v>63.75</v>
      </c>
    </row>
    <row r="17" customFormat="false" ht="15" hidden="false" customHeight="true" outlineLevel="0" collapsed="false">
      <c r="A17" s="14" t="s">
        <v>286</v>
      </c>
      <c r="B17" s="14"/>
      <c r="C17" s="14"/>
    </row>
    <row r="18" customFormat="false" ht="15" hidden="false" customHeight="true" outlineLevel="0" collapsed="false">
      <c r="A18" s="9" t="s">
        <v>133</v>
      </c>
      <c r="B18" s="9" t="s">
        <v>134</v>
      </c>
      <c r="C18" s="9" t="s">
        <v>135</v>
      </c>
    </row>
    <row r="19" customFormat="false" ht="15" hidden="false" customHeight="true" outlineLevel="0" collapsed="false">
      <c r="A19" s="10" t="s">
        <v>287</v>
      </c>
      <c r="B19" s="23" t="n">
        <v>2.8</v>
      </c>
      <c r="C19" s="18" t="n">
        <f aca="false">IF(ISNUMBER(B19),B19,"")</f>
        <v>2.8</v>
      </c>
    </row>
    <row r="20" customFormat="false" ht="15" hidden="false" customHeight="true" outlineLevel="0" collapsed="false">
      <c r="A20" s="10" t="s">
        <v>288</v>
      </c>
      <c r="B20" s="23" t="n">
        <v>2.8</v>
      </c>
      <c r="C20" s="18" t="n">
        <f aca="false">IF(ISNUMBER(B20),B20,"")</f>
        <v>2.8</v>
      </c>
    </row>
    <row r="21" customFormat="false" ht="15" hidden="false" customHeight="true" outlineLevel="0" collapsed="false">
      <c r="A21" s="10" t="s">
        <v>289</v>
      </c>
      <c r="B21" s="23" t="n">
        <v>3.2</v>
      </c>
      <c r="C21" s="18" t="n">
        <f aca="false">IF(ISNUMBER(B21),6-B21,"")</f>
        <v>2.8</v>
      </c>
    </row>
    <row r="22" customFormat="false" ht="15" hidden="false" customHeight="true" outlineLevel="0" collapsed="false">
      <c r="A22" s="10" t="s">
        <v>152</v>
      </c>
      <c r="B22" s="21" t="n">
        <v>0.82</v>
      </c>
    </row>
    <row r="23" customFormat="false" ht="15" hidden="false" customHeight="true" outlineLevel="0" collapsed="false">
      <c r="A23" s="4" t="s">
        <v>290</v>
      </c>
      <c r="B23" s="4"/>
      <c r="C23" s="4"/>
      <c r="D23" s="19" t="n">
        <f aca="false">IF(COUNT(C19:C21)=0,"",(AVERAGE(C19:C21)-1)*25)</f>
        <v>45</v>
      </c>
    </row>
    <row r="24" customFormat="false" ht="15" hidden="false" customHeight="true" outlineLevel="0" collapsed="false">
      <c r="A24" s="10" t="s">
        <v>291</v>
      </c>
      <c r="B24" s="10"/>
      <c r="C24" s="10"/>
      <c r="D24" s="16" t="n">
        <f aca="false">IF(AND(ISNUMBER(C16),ISNUMBER(D23)),C16-D23,"")</f>
        <v>18.75</v>
      </c>
    </row>
    <row r="25" customFormat="false" ht="23.25" hidden="false" customHeight="true" outlineLevel="0" collapsed="false">
      <c r="A25" s="10" t="s">
        <v>292</v>
      </c>
      <c r="B25" s="10"/>
      <c r="C25" s="10"/>
      <c r="D25" s="6" t="str">
        <f aca="false">IF(AND(ISNUMBER(D24),ABS(D24)&gt;15),"GAP - diagnostic finding","")</f>
        <v>GAP - diagnostic finding</v>
      </c>
    </row>
    <row r="26" customFormat="false" ht="15" hidden="false" customHeight="true" outlineLevel="0" collapsed="false">
      <c r="A26" s="4" t="s">
        <v>293</v>
      </c>
      <c r="B26" s="4"/>
      <c r="C26" s="4"/>
      <c r="D26" s="19" t="n">
        <f aca="false">IF(AND(ISNUMBER(C16),ISNUMBER(D23)),0.5*C16+0.5*D23,IF(ISNUMBER(D23),D23,IF(ISNUMBER(C16),C16,"")))</f>
        <v>54.375</v>
      </c>
    </row>
    <row r="28" customFormat="false" ht="15" hidden="false" customHeight="true" outlineLevel="0" collapsed="false">
      <c r="A28" s="9" t="s">
        <v>294</v>
      </c>
      <c r="B28" s="9"/>
      <c r="C28" s="9"/>
      <c r="D28" s="9"/>
    </row>
    <row r="29" customFormat="false" ht="15" hidden="false" customHeight="true" outlineLevel="0" collapsed="false">
      <c r="A29" s="9" t="s">
        <v>133</v>
      </c>
      <c r="B29" s="9" t="s">
        <v>134</v>
      </c>
      <c r="C29" s="9" t="s">
        <v>135</v>
      </c>
    </row>
    <row r="30" customFormat="false" ht="15" hidden="false" customHeight="true" outlineLevel="0" collapsed="false">
      <c r="A30" s="10" t="s">
        <v>295</v>
      </c>
      <c r="B30" s="23" t="n">
        <v>3.8</v>
      </c>
      <c r="C30" s="18" t="n">
        <f aca="false">IF(ISNUMBER(B30),B30,"")</f>
        <v>3.8</v>
      </c>
    </row>
    <row r="31" customFormat="false" ht="15" hidden="false" customHeight="true" outlineLevel="0" collapsed="false">
      <c r="A31" s="10" t="s">
        <v>296</v>
      </c>
      <c r="B31" s="23" t="n">
        <v>3.6</v>
      </c>
      <c r="C31" s="18" t="n">
        <f aca="false">IF(ISNUMBER(B31),B31,"")</f>
        <v>3.6</v>
      </c>
    </row>
    <row r="32" customFormat="false" ht="15" hidden="false" customHeight="true" outlineLevel="0" collapsed="false">
      <c r="A32" s="10" t="s">
        <v>297</v>
      </c>
      <c r="B32" s="23" t="n">
        <v>3.4</v>
      </c>
      <c r="C32" s="18" t="n">
        <f aca="false">IF(ISNUMBER(B32),B32,"")</f>
        <v>3.4</v>
      </c>
    </row>
    <row r="33" customFormat="false" ht="15" hidden="false" customHeight="true" outlineLevel="0" collapsed="false">
      <c r="A33" s="10" t="s">
        <v>298</v>
      </c>
      <c r="B33" s="23" t="n">
        <v>2.4</v>
      </c>
      <c r="C33" s="18" t="n">
        <f aca="false">IF(ISNUMBER(B33),6-B33,"")</f>
        <v>3.6</v>
      </c>
    </row>
    <row r="34" customFormat="false" ht="15" hidden="false" customHeight="true" outlineLevel="0" collapsed="false">
      <c r="A34" s="10" t="s">
        <v>299</v>
      </c>
      <c r="B34" s="23" t="n">
        <v>2.2</v>
      </c>
      <c r="C34" s="18" t="n">
        <f aca="false">IF(ISNUMBER(B34),6-B34,"")</f>
        <v>3.8</v>
      </c>
    </row>
    <row r="35" customFormat="false" ht="15" hidden="false" customHeight="true" outlineLevel="0" collapsed="false">
      <c r="A35" s="10" t="s">
        <v>152</v>
      </c>
      <c r="B35" s="21" t="n">
        <v>0.8</v>
      </c>
    </row>
    <row r="36" customFormat="false" ht="15" hidden="false" customHeight="true" outlineLevel="0" collapsed="false">
      <c r="A36" s="4" t="s">
        <v>300</v>
      </c>
      <c r="B36" s="4"/>
      <c r="C36" s="4"/>
      <c r="D36" s="19" t="n">
        <f aca="false">IF(COUNT(C30:C34)=0,"",(AVERAGE(C30:C34)-1)*25)</f>
        <v>66</v>
      </c>
    </row>
    <row r="37" customFormat="false" ht="15" hidden="false" customHeight="true" outlineLevel="0" collapsed="false">
      <c r="A37" s="10" t="s">
        <v>301</v>
      </c>
      <c r="B37" s="10"/>
      <c r="C37" s="10"/>
      <c r="D37" s="6" t="str">
        <f aca="false">IF(AND((B30-1)*25&lt;60,(B31-1)*25&lt;60,'Motivation Inputs'!$D$29&gt;75),"FALSE CONSENSUS - suppressed disagreement","")</f>
        <v/>
      </c>
    </row>
  </sheetData>
  <sheetProtection sheet="true" formatCells="false"/>
  <mergeCells count="17">
    <mergeCell ref="A1:D1"/>
    <mergeCell ref="A2:D2"/>
    <mergeCell ref="A4:D4"/>
    <mergeCell ref="A5:C5"/>
    <mergeCell ref="A6:C6"/>
    <mergeCell ref="A7:C7"/>
    <mergeCell ref="A8:C8"/>
    <mergeCell ref="A10:D10"/>
    <mergeCell ref="A16:B16"/>
    <mergeCell ref="A17:C17"/>
    <mergeCell ref="A23:C23"/>
    <mergeCell ref="A24:C24"/>
    <mergeCell ref="A25:C25"/>
    <mergeCell ref="A26:C26"/>
    <mergeCell ref="A28:D28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6" min="5" style="1" width="18"/>
  </cols>
  <sheetData>
    <row r="1" customFormat="false" ht="19.5" hidden="false" customHeight="true" outlineLevel="0" collapsed="false">
      <c r="A1" s="2" t="s">
        <v>302</v>
      </c>
      <c r="B1" s="2"/>
      <c r="C1" s="2"/>
      <c r="D1" s="2"/>
      <c r="E1" s="2"/>
      <c r="F1" s="2"/>
    </row>
    <row r="2" customFormat="false" ht="26.25" hidden="false" customHeight="true" outlineLevel="0" collapsed="false">
      <c r="A2" s="3" t="s">
        <v>303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9" t="s">
        <v>304</v>
      </c>
      <c r="B4" s="9" t="s">
        <v>305</v>
      </c>
      <c r="C4" s="9" t="s">
        <v>306</v>
      </c>
      <c r="D4" s="9" t="s">
        <v>307</v>
      </c>
      <c r="E4" s="9" t="s">
        <v>308</v>
      </c>
      <c r="F4" s="9" t="s">
        <v>309</v>
      </c>
      <c r="G4" s="24" t="s">
        <v>310</v>
      </c>
    </row>
    <row r="5" customFormat="false" ht="15" hidden="false" customHeight="true" outlineLevel="0" collapsed="false">
      <c r="A5" s="13" t="s">
        <v>311</v>
      </c>
      <c r="B5" s="5" t="s">
        <v>312</v>
      </c>
      <c r="C5" s="11" t="n">
        <v>1</v>
      </c>
      <c r="D5" s="16" t="n">
        <f aca="false">IFERROR(IF(NOT(ISNUMBER(C5)),"",IF(C5&lt;=INDEX(Ref!$B$35:$E$37,MATCH(B5,Ref!$A$35:$A$37,0),1),100,IF(C5&lt;=INDEX(Ref!$B$35:$E$37,MATCH(B5,Ref!$A$35:$A$37,0),2),100-(C5-INDEX(Ref!$B$35:$E$37,MATCH(B5,Ref!$A$35:$A$37,0),1))/(INDEX(Ref!$B$35:$E$37,MATCH(B5,Ref!$A$35:$A$37,0),2)-INDEX(Ref!$B$35:$E$37,MATCH(B5,Ref!$A$35:$A$37,0),1))*25,IF(C5&lt;=INDEX(Ref!$B$35:$E$37,MATCH(B5,Ref!$A$35:$A$37,0),3),75-(C5-INDEX(Ref!$B$35:$E$37,MATCH(B5,Ref!$A$35:$A$37,0),2))/(INDEX(Ref!$B$35:$E$37,MATCH(B5,Ref!$A$35:$A$37,0),3)-INDEX(Ref!$B$35:$E$37,MATCH(B5,Ref!$A$35:$A$37,0),2))*25,IF(C5&lt;=INDEX(Ref!$B$35:$E$37,MATCH(B5,Ref!$A$35:$A$37,0),4),50-(C5-INDEX(Ref!$B$35:$E$37,MATCH(B5,Ref!$A$35:$A$37,0),3))/(INDEX(Ref!$B$35:$E$37,MATCH(B5,Ref!$A$35:$A$37,0),4)-INDEX(Ref!$B$35:$E$37,MATCH(B5,Ref!$A$35:$A$37,0),3))*25,MAX(0,25-(C5-INDEX(Ref!$B$35:$E$37,MATCH(B5,Ref!$A$35:$A$37,0),4))/INDEX(Ref!$B$35:$E$37,MATCH(B5,Ref!$A$35:$A$37,0),4)*25)))))),"")</f>
        <v>100</v>
      </c>
      <c r="E5" s="13"/>
      <c r="F5" s="13"/>
      <c r="G5" s="25"/>
    </row>
    <row r="6" customFormat="false" ht="15" hidden="false" customHeight="true" outlineLevel="0" collapsed="false">
      <c r="A6" s="13" t="s">
        <v>313</v>
      </c>
      <c r="B6" s="5" t="s">
        <v>312</v>
      </c>
      <c r="C6" s="11" t="n">
        <v>1</v>
      </c>
      <c r="D6" s="16" t="n">
        <f aca="false">IFERROR(IF(NOT(ISNUMBER(C6)),"",IF(C6&lt;=INDEX(Ref!$B$35:$E$37,MATCH(B6,Ref!$A$35:$A$37,0),1),100,IF(C6&lt;=INDEX(Ref!$B$35:$E$37,MATCH(B6,Ref!$A$35:$A$37,0),2),100-(C6-INDEX(Ref!$B$35:$E$37,MATCH(B6,Ref!$A$35:$A$37,0),1))/(INDEX(Ref!$B$35:$E$37,MATCH(B6,Ref!$A$35:$A$37,0),2)-INDEX(Ref!$B$35:$E$37,MATCH(B6,Ref!$A$35:$A$37,0),1))*25,IF(C6&lt;=INDEX(Ref!$B$35:$E$37,MATCH(B6,Ref!$A$35:$A$37,0),3),75-(C6-INDEX(Ref!$B$35:$E$37,MATCH(B6,Ref!$A$35:$A$37,0),2))/(INDEX(Ref!$B$35:$E$37,MATCH(B6,Ref!$A$35:$A$37,0),3)-INDEX(Ref!$B$35:$E$37,MATCH(B6,Ref!$A$35:$A$37,0),2))*25,IF(C6&lt;=INDEX(Ref!$B$35:$E$37,MATCH(B6,Ref!$A$35:$A$37,0),4),50-(C6-INDEX(Ref!$B$35:$E$37,MATCH(B6,Ref!$A$35:$A$37,0),3))/(INDEX(Ref!$B$35:$E$37,MATCH(B6,Ref!$A$35:$A$37,0),4)-INDEX(Ref!$B$35:$E$37,MATCH(B6,Ref!$A$35:$A$37,0),3))*25,MAX(0,25-(C6-INDEX(Ref!$B$35:$E$37,MATCH(B6,Ref!$A$35:$A$37,0),4))/INDEX(Ref!$B$35:$E$37,MATCH(B6,Ref!$A$35:$A$37,0),4)*25)))))),"")</f>
        <v>100</v>
      </c>
      <c r="E6" s="13"/>
      <c r="F6" s="13"/>
      <c r="G6" s="25"/>
    </row>
    <row r="7" customFormat="false" ht="15" hidden="false" customHeight="true" outlineLevel="0" collapsed="false">
      <c r="A7" s="13" t="s">
        <v>314</v>
      </c>
      <c r="B7" s="5" t="s">
        <v>312</v>
      </c>
      <c r="C7" s="11" t="n">
        <v>2</v>
      </c>
      <c r="D7" s="16" t="n">
        <f aca="false">IFERROR(IF(NOT(ISNUMBER(C7)),"",IF(C7&lt;=INDEX(Ref!$B$35:$E$37,MATCH(B7,Ref!$A$35:$A$37,0),1),100,IF(C7&lt;=INDEX(Ref!$B$35:$E$37,MATCH(B7,Ref!$A$35:$A$37,0),2),100-(C7-INDEX(Ref!$B$35:$E$37,MATCH(B7,Ref!$A$35:$A$37,0),1))/(INDEX(Ref!$B$35:$E$37,MATCH(B7,Ref!$A$35:$A$37,0),2)-INDEX(Ref!$B$35:$E$37,MATCH(B7,Ref!$A$35:$A$37,0),1))*25,IF(C7&lt;=INDEX(Ref!$B$35:$E$37,MATCH(B7,Ref!$A$35:$A$37,0),3),75-(C7-INDEX(Ref!$B$35:$E$37,MATCH(B7,Ref!$A$35:$A$37,0),2))/(INDEX(Ref!$B$35:$E$37,MATCH(B7,Ref!$A$35:$A$37,0),3)-INDEX(Ref!$B$35:$E$37,MATCH(B7,Ref!$A$35:$A$37,0),2))*25,IF(C7&lt;=INDEX(Ref!$B$35:$E$37,MATCH(B7,Ref!$A$35:$A$37,0),4),50-(C7-INDEX(Ref!$B$35:$E$37,MATCH(B7,Ref!$A$35:$A$37,0),3))/(INDEX(Ref!$B$35:$E$37,MATCH(B7,Ref!$A$35:$A$37,0),4)-INDEX(Ref!$B$35:$E$37,MATCH(B7,Ref!$A$35:$A$37,0),3))*25,MAX(0,25-(C7-INDEX(Ref!$B$35:$E$37,MATCH(B7,Ref!$A$35:$A$37,0),4))/INDEX(Ref!$B$35:$E$37,MATCH(B7,Ref!$A$35:$A$37,0),4)*25)))))),"")</f>
        <v>87.5</v>
      </c>
      <c r="E7" s="13"/>
      <c r="F7" s="13"/>
      <c r="G7" s="25"/>
    </row>
    <row r="8" customFormat="false" ht="15" hidden="false" customHeight="true" outlineLevel="0" collapsed="false">
      <c r="A8" s="13" t="s">
        <v>315</v>
      </c>
      <c r="B8" s="5" t="s">
        <v>312</v>
      </c>
      <c r="C8" s="11" t="n">
        <v>2</v>
      </c>
      <c r="D8" s="16" t="n">
        <f aca="false">IFERROR(IF(NOT(ISNUMBER(C8)),"",IF(C8&lt;=INDEX(Ref!$B$35:$E$37,MATCH(B8,Ref!$A$35:$A$37,0),1),100,IF(C8&lt;=INDEX(Ref!$B$35:$E$37,MATCH(B8,Ref!$A$35:$A$37,0),2),100-(C8-INDEX(Ref!$B$35:$E$37,MATCH(B8,Ref!$A$35:$A$37,0),1))/(INDEX(Ref!$B$35:$E$37,MATCH(B8,Ref!$A$35:$A$37,0),2)-INDEX(Ref!$B$35:$E$37,MATCH(B8,Ref!$A$35:$A$37,0),1))*25,IF(C8&lt;=INDEX(Ref!$B$35:$E$37,MATCH(B8,Ref!$A$35:$A$37,0),3),75-(C8-INDEX(Ref!$B$35:$E$37,MATCH(B8,Ref!$A$35:$A$37,0),2))/(INDEX(Ref!$B$35:$E$37,MATCH(B8,Ref!$A$35:$A$37,0),3)-INDEX(Ref!$B$35:$E$37,MATCH(B8,Ref!$A$35:$A$37,0),2))*25,IF(C8&lt;=INDEX(Ref!$B$35:$E$37,MATCH(B8,Ref!$A$35:$A$37,0),4),50-(C8-INDEX(Ref!$B$35:$E$37,MATCH(B8,Ref!$A$35:$A$37,0),3))/(INDEX(Ref!$B$35:$E$37,MATCH(B8,Ref!$A$35:$A$37,0),4)-INDEX(Ref!$B$35:$E$37,MATCH(B8,Ref!$A$35:$A$37,0),3))*25,MAX(0,25-(C8-INDEX(Ref!$B$35:$E$37,MATCH(B8,Ref!$A$35:$A$37,0),4))/INDEX(Ref!$B$35:$E$37,MATCH(B8,Ref!$A$35:$A$37,0),4)*25)))))),"")</f>
        <v>87.5</v>
      </c>
      <c r="E8" s="13"/>
      <c r="F8" s="13"/>
      <c r="G8" s="25"/>
    </row>
    <row r="9" customFormat="false" ht="15" hidden="false" customHeight="true" outlineLevel="0" collapsed="false">
      <c r="A9" s="13" t="s">
        <v>316</v>
      </c>
      <c r="B9" s="5" t="s">
        <v>312</v>
      </c>
      <c r="C9" s="11" t="n">
        <v>2</v>
      </c>
      <c r="D9" s="16" t="n">
        <f aca="false">IFERROR(IF(NOT(ISNUMBER(C9)),"",IF(C9&lt;=INDEX(Ref!$B$35:$E$37,MATCH(B9,Ref!$A$35:$A$37,0),1),100,IF(C9&lt;=INDEX(Ref!$B$35:$E$37,MATCH(B9,Ref!$A$35:$A$37,0),2),100-(C9-INDEX(Ref!$B$35:$E$37,MATCH(B9,Ref!$A$35:$A$37,0),1))/(INDEX(Ref!$B$35:$E$37,MATCH(B9,Ref!$A$35:$A$37,0),2)-INDEX(Ref!$B$35:$E$37,MATCH(B9,Ref!$A$35:$A$37,0),1))*25,IF(C9&lt;=INDEX(Ref!$B$35:$E$37,MATCH(B9,Ref!$A$35:$A$37,0),3),75-(C9-INDEX(Ref!$B$35:$E$37,MATCH(B9,Ref!$A$35:$A$37,0),2))/(INDEX(Ref!$B$35:$E$37,MATCH(B9,Ref!$A$35:$A$37,0),3)-INDEX(Ref!$B$35:$E$37,MATCH(B9,Ref!$A$35:$A$37,0),2))*25,IF(C9&lt;=INDEX(Ref!$B$35:$E$37,MATCH(B9,Ref!$A$35:$A$37,0),4),50-(C9-INDEX(Ref!$B$35:$E$37,MATCH(B9,Ref!$A$35:$A$37,0),3))/(INDEX(Ref!$B$35:$E$37,MATCH(B9,Ref!$A$35:$A$37,0),4)-INDEX(Ref!$B$35:$E$37,MATCH(B9,Ref!$A$35:$A$37,0),3))*25,MAX(0,25-(C9-INDEX(Ref!$B$35:$E$37,MATCH(B9,Ref!$A$35:$A$37,0),4))/INDEX(Ref!$B$35:$E$37,MATCH(B9,Ref!$A$35:$A$37,0),4)*25)))))),"")</f>
        <v>87.5</v>
      </c>
      <c r="E9" s="13"/>
      <c r="F9" s="13"/>
      <c r="G9" s="25"/>
    </row>
    <row r="10" customFormat="false" ht="15" hidden="false" customHeight="true" outlineLevel="0" collapsed="false">
      <c r="A10" s="13" t="s">
        <v>317</v>
      </c>
      <c r="B10" s="5" t="s">
        <v>312</v>
      </c>
      <c r="C10" s="11" t="n">
        <v>3</v>
      </c>
      <c r="D10" s="16" t="n">
        <f aca="false">IFERROR(IF(NOT(ISNUMBER(C10)),"",IF(C10&lt;=INDEX(Ref!$B$35:$E$37,MATCH(B10,Ref!$A$35:$A$37,0),1),100,IF(C10&lt;=INDEX(Ref!$B$35:$E$37,MATCH(B10,Ref!$A$35:$A$37,0),2),100-(C10-INDEX(Ref!$B$35:$E$37,MATCH(B10,Ref!$A$35:$A$37,0),1))/(INDEX(Ref!$B$35:$E$37,MATCH(B10,Ref!$A$35:$A$37,0),2)-INDEX(Ref!$B$35:$E$37,MATCH(B10,Ref!$A$35:$A$37,0),1))*25,IF(C10&lt;=INDEX(Ref!$B$35:$E$37,MATCH(B10,Ref!$A$35:$A$37,0),3),75-(C10-INDEX(Ref!$B$35:$E$37,MATCH(B10,Ref!$A$35:$A$37,0),2))/(INDEX(Ref!$B$35:$E$37,MATCH(B10,Ref!$A$35:$A$37,0),3)-INDEX(Ref!$B$35:$E$37,MATCH(B10,Ref!$A$35:$A$37,0),2))*25,IF(C10&lt;=INDEX(Ref!$B$35:$E$37,MATCH(B10,Ref!$A$35:$A$37,0),4),50-(C10-INDEX(Ref!$B$35:$E$37,MATCH(B10,Ref!$A$35:$A$37,0),3))/(INDEX(Ref!$B$35:$E$37,MATCH(B10,Ref!$A$35:$A$37,0),4)-INDEX(Ref!$B$35:$E$37,MATCH(B10,Ref!$A$35:$A$37,0),3))*25,MAX(0,25-(C10-INDEX(Ref!$B$35:$E$37,MATCH(B10,Ref!$A$35:$A$37,0),4))/INDEX(Ref!$B$35:$E$37,MATCH(B10,Ref!$A$35:$A$37,0),4)*25)))))),"")</f>
        <v>75</v>
      </c>
      <c r="E10" s="13"/>
      <c r="F10" s="13"/>
      <c r="G10" s="25"/>
    </row>
    <row r="11" customFormat="false" ht="15" hidden="false" customHeight="true" outlineLevel="0" collapsed="false">
      <c r="A11" s="13" t="s">
        <v>318</v>
      </c>
      <c r="B11" s="5" t="s">
        <v>312</v>
      </c>
      <c r="C11" s="11" t="n">
        <v>3</v>
      </c>
      <c r="D11" s="16" t="n">
        <f aca="false">IFERROR(IF(NOT(ISNUMBER(C11)),"",IF(C11&lt;=INDEX(Ref!$B$35:$E$37,MATCH(B11,Ref!$A$35:$A$37,0),1),100,IF(C11&lt;=INDEX(Ref!$B$35:$E$37,MATCH(B11,Ref!$A$35:$A$37,0),2),100-(C11-INDEX(Ref!$B$35:$E$37,MATCH(B11,Ref!$A$35:$A$37,0),1))/(INDEX(Ref!$B$35:$E$37,MATCH(B11,Ref!$A$35:$A$37,0),2)-INDEX(Ref!$B$35:$E$37,MATCH(B11,Ref!$A$35:$A$37,0),1))*25,IF(C11&lt;=INDEX(Ref!$B$35:$E$37,MATCH(B11,Ref!$A$35:$A$37,0),3),75-(C11-INDEX(Ref!$B$35:$E$37,MATCH(B11,Ref!$A$35:$A$37,0),2))/(INDEX(Ref!$B$35:$E$37,MATCH(B11,Ref!$A$35:$A$37,0),3)-INDEX(Ref!$B$35:$E$37,MATCH(B11,Ref!$A$35:$A$37,0),2))*25,IF(C11&lt;=INDEX(Ref!$B$35:$E$37,MATCH(B11,Ref!$A$35:$A$37,0),4),50-(C11-INDEX(Ref!$B$35:$E$37,MATCH(B11,Ref!$A$35:$A$37,0),3))/(INDEX(Ref!$B$35:$E$37,MATCH(B11,Ref!$A$35:$A$37,0),4)-INDEX(Ref!$B$35:$E$37,MATCH(B11,Ref!$A$35:$A$37,0),3))*25,MAX(0,25-(C11-INDEX(Ref!$B$35:$E$37,MATCH(B11,Ref!$A$35:$A$37,0),4))/INDEX(Ref!$B$35:$E$37,MATCH(B11,Ref!$A$35:$A$37,0),4)*25)))))),"")</f>
        <v>75</v>
      </c>
      <c r="E11" s="13"/>
      <c r="F11" s="13"/>
      <c r="G11" s="25"/>
    </row>
    <row r="12" customFormat="false" ht="15" hidden="false" customHeight="true" outlineLevel="0" collapsed="false">
      <c r="A12" s="13" t="s">
        <v>319</v>
      </c>
      <c r="B12" s="5" t="s">
        <v>312</v>
      </c>
      <c r="C12" s="11" t="n">
        <v>3</v>
      </c>
      <c r="D12" s="16" t="n">
        <f aca="false">IFERROR(IF(NOT(ISNUMBER(C12)),"",IF(C12&lt;=INDEX(Ref!$B$35:$E$37,MATCH(B12,Ref!$A$35:$A$37,0),1),100,IF(C12&lt;=INDEX(Ref!$B$35:$E$37,MATCH(B12,Ref!$A$35:$A$37,0),2),100-(C12-INDEX(Ref!$B$35:$E$37,MATCH(B12,Ref!$A$35:$A$37,0),1))/(INDEX(Ref!$B$35:$E$37,MATCH(B12,Ref!$A$35:$A$37,0),2)-INDEX(Ref!$B$35:$E$37,MATCH(B12,Ref!$A$35:$A$37,0),1))*25,IF(C12&lt;=INDEX(Ref!$B$35:$E$37,MATCH(B12,Ref!$A$35:$A$37,0),3),75-(C12-INDEX(Ref!$B$35:$E$37,MATCH(B12,Ref!$A$35:$A$37,0),2))/(INDEX(Ref!$B$35:$E$37,MATCH(B12,Ref!$A$35:$A$37,0),3)-INDEX(Ref!$B$35:$E$37,MATCH(B12,Ref!$A$35:$A$37,0),2))*25,IF(C12&lt;=INDEX(Ref!$B$35:$E$37,MATCH(B12,Ref!$A$35:$A$37,0),4),50-(C12-INDEX(Ref!$B$35:$E$37,MATCH(B12,Ref!$A$35:$A$37,0),3))/(INDEX(Ref!$B$35:$E$37,MATCH(B12,Ref!$A$35:$A$37,0),4)-INDEX(Ref!$B$35:$E$37,MATCH(B12,Ref!$A$35:$A$37,0),3))*25,MAX(0,25-(C12-INDEX(Ref!$B$35:$E$37,MATCH(B12,Ref!$A$35:$A$37,0),4))/INDEX(Ref!$B$35:$E$37,MATCH(B12,Ref!$A$35:$A$37,0),4)*25)))))),"")</f>
        <v>75</v>
      </c>
      <c r="E12" s="13"/>
      <c r="F12" s="13"/>
      <c r="G12" s="25"/>
    </row>
    <row r="13" customFormat="false" ht="15" hidden="false" customHeight="true" outlineLevel="0" collapsed="false">
      <c r="A13" s="13" t="s">
        <v>320</v>
      </c>
      <c r="B13" s="5" t="s">
        <v>312</v>
      </c>
      <c r="C13" s="11" t="n">
        <v>4</v>
      </c>
      <c r="D13" s="16" t="n">
        <f aca="false">IFERROR(IF(NOT(ISNUMBER(C13)),"",IF(C13&lt;=INDEX(Ref!$B$35:$E$37,MATCH(B13,Ref!$A$35:$A$37,0),1),100,IF(C13&lt;=INDEX(Ref!$B$35:$E$37,MATCH(B13,Ref!$A$35:$A$37,0),2),100-(C13-INDEX(Ref!$B$35:$E$37,MATCH(B13,Ref!$A$35:$A$37,0),1))/(INDEX(Ref!$B$35:$E$37,MATCH(B13,Ref!$A$35:$A$37,0),2)-INDEX(Ref!$B$35:$E$37,MATCH(B13,Ref!$A$35:$A$37,0),1))*25,IF(C13&lt;=INDEX(Ref!$B$35:$E$37,MATCH(B13,Ref!$A$35:$A$37,0),3),75-(C13-INDEX(Ref!$B$35:$E$37,MATCH(B13,Ref!$A$35:$A$37,0),2))/(INDEX(Ref!$B$35:$E$37,MATCH(B13,Ref!$A$35:$A$37,0),3)-INDEX(Ref!$B$35:$E$37,MATCH(B13,Ref!$A$35:$A$37,0),2))*25,IF(C13&lt;=INDEX(Ref!$B$35:$E$37,MATCH(B13,Ref!$A$35:$A$37,0),4),50-(C13-INDEX(Ref!$B$35:$E$37,MATCH(B13,Ref!$A$35:$A$37,0),3))/(INDEX(Ref!$B$35:$E$37,MATCH(B13,Ref!$A$35:$A$37,0),4)-INDEX(Ref!$B$35:$E$37,MATCH(B13,Ref!$A$35:$A$37,0),3))*25,MAX(0,25-(C13-INDEX(Ref!$B$35:$E$37,MATCH(B13,Ref!$A$35:$A$37,0),4))/INDEX(Ref!$B$35:$E$37,MATCH(B13,Ref!$A$35:$A$37,0),4)*25)))))),"")</f>
        <v>68.75</v>
      </c>
      <c r="E13" s="13"/>
      <c r="F13" s="13"/>
      <c r="G13" s="25"/>
    </row>
    <row r="14" customFormat="false" ht="15" hidden="false" customHeight="true" outlineLevel="0" collapsed="false">
      <c r="A14" s="13" t="s">
        <v>321</v>
      </c>
      <c r="B14" s="5" t="s">
        <v>312</v>
      </c>
      <c r="C14" s="11" t="n">
        <v>5</v>
      </c>
      <c r="D14" s="16" t="n">
        <f aca="false">IFERROR(IF(NOT(ISNUMBER(C14)),"",IF(C14&lt;=INDEX(Ref!$B$35:$E$37,MATCH(B14,Ref!$A$35:$A$37,0),1),100,IF(C14&lt;=INDEX(Ref!$B$35:$E$37,MATCH(B14,Ref!$A$35:$A$37,0),2),100-(C14-INDEX(Ref!$B$35:$E$37,MATCH(B14,Ref!$A$35:$A$37,0),1))/(INDEX(Ref!$B$35:$E$37,MATCH(B14,Ref!$A$35:$A$37,0),2)-INDEX(Ref!$B$35:$E$37,MATCH(B14,Ref!$A$35:$A$37,0),1))*25,IF(C14&lt;=INDEX(Ref!$B$35:$E$37,MATCH(B14,Ref!$A$35:$A$37,0),3),75-(C14-INDEX(Ref!$B$35:$E$37,MATCH(B14,Ref!$A$35:$A$37,0),2))/(INDEX(Ref!$B$35:$E$37,MATCH(B14,Ref!$A$35:$A$37,0),3)-INDEX(Ref!$B$35:$E$37,MATCH(B14,Ref!$A$35:$A$37,0),2))*25,IF(C14&lt;=INDEX(Ref!$B$35:$E$37,MATCH(B14,Ref!$A$35:$A$37,0),4),50-(C14-INDEX(Ref!$B$35:$E$37,MATCH(B14,Ref!$A$35:$A$37,0),3))/(INDEX(Ref!$B$35:$E$37,MATCH(B14,Ref!$A$35:$A$37,0),4)-INDEX(Ref!$B$35:$E$37,MATCH(B14,Ref!$A$35:$A$37,0),3))*25,MAX(0,25-(C14-INDEX(Ref!$B$35:$E$37,MATCH(B14,Ref!$A$35:$A$37,0),4))/INDEX(Ref!$B$35:$E$37,MATCH(B14,Ref!$A$35:$A$37,0),4)*25)))))),"")</f>
        <v>62.5</v>
      </c>
      <c r="E14" s="13"/>
      <c r="F14" s="13"/>
      <c r="G14" s="25"/>
    </row>
    <row r="15" customFormat="false" ht="15" hidden="false" customHeight="true" outlineLevel="0" collapsed="false">
      <c r="A15" s="13" t="s">
        <v>322</v>
      </c>
      <c r="B15" s="5" t="s">
        <v>312</v>
      </c>
      <c r="C15" s="11" t="n">
        <v>5</v>
      </c>
      <c r="D15" s="16" t="n">
        <f aca="false">IFERROR(IF(NOT(ISNUMBER(C15)),"",IF(C15&lt;=INDEX(Ref!$B$35:$E$37,MATCH(B15,Ref!$A$35:$A$37,0),1),100,IF(C15&lt;=INDEX(Ref!$B$35:$E$37,MATCH(B15,Ref!$A$35:$A$37,0),2),100-(C15-INDEX(Ref!$B$35:$E$37,MATCH(B15,Ref!$A$35:$A$37,0),1))/(INDEX(Ref!$B$35:$E$37,MATCH(B15,Ref!$A$35:$A$37,0),2)-INDEX(Ref!$B$35:$E$37,MATCH(B15,Ref!$A$35:$A$37,0),1))*25,IF(C15&lt;=INDEX(Ref!$B$35:$E$37,MATCH(B15,Ref!$A$35:$A$37,0),3),75-(C15-INDEX(Ref!$B$35:$E$37,MATCH(B15,Ref!$A$35:$A$37,0),2))/(INDEX(Ref!$B$35:$E$37,MATCH(B15,Ref!$A$35:$A$37,0),3)-INDEX(Ref!$B$35:$E$37,MATCH(B15,Ref!$A$35:$A$37,0),2))*25,IF(C15&lt;=INDEX(Ref!$B$35:$E$37,MATCH(B15,Ref!$A$35:$A$37,0),4),50-(C15-INDEX(Ref!$B$35:$E$37,MATCH(B15,Ref!$A$35:$A$37,0),3))/(INDEX(Ref!$B$35:$E$37,MATCH(B15,Ref!$A$35:$A$37,0),4)-INDEX(Ref!$B$35:$E$37,MATCH(B15,Ref!$A$35:$A$37,0),3))*25,MAX(0,25-(C15-INDEX(Ref!$B$35:$E$37,MATCH(B15,Ref!$A$35:$A$37,0),4))/INDEX(Ref!$B$35:$E$37,MATCH(B15,Ref!$A$35:$A$37,0),4)*25)))))),"")</f>
        <v>62.5</v>
      </c>
      <c r="E15" s="13"/>
      <c r="F15" s="13"/>
      <c r="G15" s="25"/>
    </row>
    <row r="16" customFormat="false" ht="15" hidden="false" customHeight="true" outlineLevel="0" collapsed="false">
      <c r="A16" s="13" t="s">
        <v>323</v>
      </c>
      <c r="B16" s="5" t="s">
        <v>312</v>
      </c>
      <c r="C16" s="11" t="n">
        <v>6</v>
      </c>
      <c r="D16" s="16" t="n">
        <f aca="false">IFERROR(IF(NOT(ISNUMBER(C16)),"",IF(C16&lt;=INDEX(Ref!$B$35:$E$37,MATCH(B16,Ref!$A$35:$A$37,0),1),100,IF(C16&lt;=INDEX(Ref!$B$35:$E$37,MATCH(B16,Ref!$A$35:$A$37,0),2),100-(C16-INDEX(Ref!$B$35:$E$37,MATCH(B16,Ref!$A$35:$A$37,0),1))/(INDEX(Ref!$B$35:$E$37,MATCH(B16,Ref!$A$35:$A$37,0),2)-INDEX(Ref!$B$35:$E$37,MATCH(B16,Ref!$A$35:$A$37,0),1))*25,IF(C16&lt;=INDEX(Ref!$B$35:$E$37,MATCH(B16,Ref!$A$35:$A$37,0),3),75-(C16-INDEX(Ref!$B$35:$E$37,MATCH(B16,Ref!$A$35:$A$37,0),2))/(INDEX(Ref!$B$35:$E$37,MATCH(B16,Ref!$A$35:$A$37,0),3)-INDEX(Ref!$B$35:$E$37,MATCH(B16,Ref!$A$35:$A$37,0),2))*25,IF(C16&lt;=INDEX(Ref!$B$35:$E$37,MATCH(B16,Ref!$A$35:$A$37,0),4),50-(C16-INDEX(Ref!$B$35:$E$37,MATCH(B16,Ref!$A$35:$A$37,0),3))/(INDEX(Ref!$B$35:$E$37,MATCH(B16,Ref!$A$35:$A$37,0),4)-INDEX(Ref!$B$35:$E$37,MATCH(B16,Ref!$A$35:$A$37,0),3))*25,MAX(0,25-(C16-INDEX(Ref!$B$35:$E$37,MATCH(B16,Ref!$A$35:$A$37,0),4))/INDEX(Ref!$B$35:$E$37,MATCH(B16,Ref!$A$35:$A$37,0),4)*25)))))),"")</f>
        <v>56.25</v>
      </c>
      <c r="E16" s="13"/>
      <c r="F16" s="13"/>
      <c r="G16" s="25"/>
    </row>
    <row r="17" customFormat="false" ht="15" hidden="false" customHeight="true" outlineLevel="0" collapsed="false">
      <c r="A17" s="13" t="s">
        <v>324</v>
      </c>
      <c r="B17" s="5" t="s">
        <v>312</v>
      </c>
      <c r="C17" s="11" t="n">
        <v>6</v>
      </c>
      <c r="D17" s="16" t="n">
        <f aca="false">IFERROR(IF(NOT(ISNUMBER(C17)),"",IF(C17&lt;=INDEX(Ref!$B$35:$E$37,MATCH(B17,Ref!$A$35:$A$37,0),1),100,IF(C17&lt;=INDEX(Ref!$B$35:$E$37,MATCH(B17,Ref!$A$35:$A$37,0),2),100-(C17-INDEX(Ref!$B$35:$E$37,MATCH(B17,Ref!$A$35:$A$37,0),1))/(INDEX(Ref!$B$35:$E$37,MATCH(B17,Ref!$A$35:$A$37,0),2)-INDEX(Ref!$B$35:$E$37,MATCH(B17,Ref!$A$35:$A$37,0),1))*25,IF(C17&lt;=INDEX(Ref!$B$35:$E$37,MATCH(B17,Ref!$A$35:$A$37,0),3),75-(C17-INDEX(Ref!$B$35:$E$37,MATCH(B17,Ref!$A$35:$A$37,0),2))/(INDEX(Ref!$B$35:$E$37,MATCH(B17,Ref!$A$35:$A$37,0),3)-INDEX(Ref!$B$35:$E$37,MATCH(B17,Ref!$A$35:$A$37,0),2))*25,IF(C17&lt;=INDEX(Ref!$B$35:$E$37,MATCH(B17,Ref!$A$35:$A$37,0),4),50-(C17-INDEX(Ref!$B$35:$E$37,MATCH(B17,Ref!$A$35:$A$37,0),3))/(INDEX(Ref!$B$35:$E$37,MATCH(B17,Ref!$A$35:$A$37,0),4)-INDEX(Ref!$B$35:$E$37,MATCH(B17,Ref!$A$35:$A$37,0),3))*25,MAX(0,25-(C17-INDEX(Ref!$B$35:$E$37,MATCH(B17,Ref!$A$35:$A$37,0),4))/INDEX(Ref!$B$35:$E$37,MATCH(B17,Ref!$A$35:$A$37,0),4)*25)))))),"")</f>
        <v>56.25</v>
      </c>
      <c r="E17" s="13"/>
      <c r="F17" s="13"/>
      <c r="G17" s="25"/>
    </row>
    <row r="18" customFormat="false" ht="15" hidden="false" customHeight="true" outlineLevel="0" collapsed="false">
      <c r="A18" s="13" t="s">
        <v>325</v>
      </c>
      <c r="B18" s="5" t="s">
        <v>312</v>
      </c>
      <c r="C18" s="11" t="n">
        <v>7</v>
      </c>
      <c r="D18" s="16" t="n">
        <f aca="false">IFERROR(IF(NOT(ISNUMBER(C18)),"",IF(C18&lt;=INDEX(Ref!$B$35:$E$37,MATCH(B18,Ref!$A$35:$A$37,0),1),100,IF(C18&lt;=INDEX(Ref!$B$35:$E$37,MATCH(B18,Ref!$A$35:$A$37,0),2),100-(C18-INDEX(Ref!$B$35:$E$37,MATCH(B18,Ref!$A$35:$A$37,0),1))/(INDEX(Ref!$B$35:$E$37,MATCH(B18,Ref!$A$35:$A$37,0),2)-INDEX(Ref!$B$35:$E$37,MATCH(B18,Ref!$A$35:$A$37,0),1))*25,IF(C18&lt;=INDEX(Ref!$B$35:$E$37,MATCH(B18,Ref!$A$35:$A$37,0),3),75-(C18-INDEX(Ref!$B$35:$E$37,MATCH(B18,Ref!$A$35:$A$37,0),2))/(INDEX(Ref!$B$35:$E$37,MATCH(B18,Ref!$A$35:$A$37,0),3)-INDEX(Ref!$B$35:$E$37,MATCH(B18,Ref!$A$35:$A$37,0),2))*25,IF(C18&lt;=INDEX(Ref!$B$35:$E$37,MATCH(B18,Ref!$A$35:$A$37,0),4),50-(C18-INDEX(Ref!$B$35:$E$37,MATCH(B18,Ref!$A$35:$A$37,0),3))/(INDEX(Ref!$B$35:$E$37,MATCH(B18,Ref!$A$35:$A$37,0),4)-INDEX(Ref!$B$35:$E$37,MATCH(B18,Ref!$A$35:$A$37,0),3))*25,MAX(0,25-(C18-INDEX(Ref!$B$35:$E$37,MATCH(B18,Ref!$A$35:$A$37,0),4))/INDEX(Ref!$B$35:$E$37,MATCH(B18,Ref!$A$35:$A$37,0),4)*25)))))),"")</f>
        <v>50</v>
      </c>
      <c r="E18" s="13"/>
      <c r="F18" s="13"/>
      <c r="G18" s="25"/>
    </row>
    <row r="19" customFormat="false" ht="15" hidden="false" customHeight="true" outlineLevel="0" collapsed="false">
      <c r="A19" s="13" t="s">
        <v>326</v>
      </c>
      <c r="B19" s="5" t="s">
        <v>312</v>
      </c>
      <c r="C19" s="11" t="n">
        <v>7</v>
      </c>
      <c r="D19" s="16" t="n">
        <f aca="false">IFERROR(IF(NOT(ISNUMBER(C19)),"",IF(C19&lt;=INDEX(Ref!$B$35:$E$37,MATCH(B19,Ref!$A$35:$A$37,0),1),100,IF(C19&lt;=INDEX(Ref!$B$35:$E$37,MATCH(B19,Ref!$A$35:$A$37,0),2),100-(C19-INDEX(Ref!$B$35:$E$37,MATCH(B19,Ref!$A$35:$A$37,0),1))/(INDEX(Ref!$B$35:$E$37,MATCH(B19,Ref!$A$35:$A$37,0),2)-INDEX(Ref!$B$35:$E$37,MATCH(B19,Ref!$A$35:$A$37,0),1))*25,IF(C19&lt;=INDEX(Ref!$B$35:$E$37,MATCH(B19,Ref!$A$35:$A$37,0),3),75-(C19-INDEX(Ref!$B$35:$E$37,MATCH(B19,Ref!$A$35:$A$37,0),2))/(INDEX(Ref!$B$35:$E$37,MATCH(B19,Ref!$A$35:$A$37,0),3)-INDEX(Ref!$B$35:$E$37,MATCH(B19,Ref!$A$35:$A$37,0),2))*25,IF(C19&lt;=INDEX(Ref!$B$35:$E$37,MATCH(B19,Ref!$A$35:$A$37,0),4),50-(C19-INDEX(Ref!$B$35:$E$37,MATCH(B19,Ref!$A$35:$A$37,0),3))/(INDEX(Ref!$B$35:$E$37,MATCH(B19,Ref!$A$35:$A$37,0),4)-INDEX(Ref!$B$35:$E$37,MATCH(B19,Ref!$A$35:$A$37,0),3))*25,MAX(0,25-(C19-INDEX(Ref!$B$35:$E$37,MATCH(B19,Ref!$A$35:$A$37,0),4))/INDEX(Ref!$B$35:$E$37,MATCH(B19,Ref!$A$35:$A$37,0),4)*25)))))),"")</f>
        <v>50</v>
      </c>
      <c r="E19" s="13"/>
      <c r="F19" s="13"/>
      <c r="G19" s="25"/>
    </row>
    <row r="20" customFormat="false" ht="15" hidden="false" customHeight="true" outlineLevel="0" collapsed="false">
      <c r="A20" s="13" t="s">
        <v>327</v>
      </c>
      <c r="B20" s="5" t="s">
        <v>312</v>
      </c>
      <c r="C20" s="11" t="n">
        <v>8</v>
      </c>
      <c r="D20" s="16" t="n">
        <f aca="false">IFERROR(IF(NOT(ISNUMBER(C20)),"",IF(C20&lt;=INDEX(Ref!$B$35:$E$37,MATCH(B20,Ref!$A$35:$A$37,0),1),100,IF(C20&lt;=INDEX(Ref!$B$35:$E$37,MATCH(B20,Ref!$A$35:$A$37,0),2),100-(C20-INDEX(Ref!$B$35:$E$37,MATCH(B20,Ref!$A$35:$A$37,0),1))/(INDEX(Ref!$B$35:$E$37,MATCH(B20,Ref!$A$35:$A$37,0),2)-INDEX(Ref!$B$35:$E$37,MATCH(B20,Ref!$A$35:$A$37,0),1))*25,IF(C20&lt;=INDEX(Ref!$B$35:$E$37,MATCH(B20,Ref!$A$35:$A$37,0),3),75-(C20-INDEX(Ref!$B$35:$E$37,MATCH(B20,Ref!$A$35:$A$37,0),2))/(INDEX(Ref!$B$35:$E$37,MATCH(B20,Ref!$A$35:$A$37,0),3)-INDEX(Ref!$B$35:$E$37,MATCH(B20,Ref!$A$35:$A$37,0),2))*25,IF(C20&lt;=INDEX(Ref!$B$35:$E$37,MATCH(B20,Ref!$A$35:$A$37,0),4),50-(C20-INDEX(Ref!$B$35:$E$37,MATCH(B20,Ref!$A$35:$A$37,0),3))/(INDEX(Ref!$B$35:$E$37,MATCH(B20,Ref!$A$35:$A$37,0),4)-INDEX(Ref!$B$35:$E$37,MATCH(B20,Ref!$A$35:$A$37,0),3))*25,MAX(0,25-(C20-INDEX(Ref!$B$35:$E$37,MATCH(B20,Ref!$A$35:$A$37,0),4))/INDEX(Ref!$B$35:$E$37,MATCH(B20,Ref!$A$35:$A$37,0),4)*25)))))),"")</f>
        <v>46.4285714285714</v>
      </c>
      <c r="E20" s="13"/>
      <c r="F20" s="13"/>
      <c r="G20" s="25"/>
    </row>
    <row r="21" customFormat="false" ht="15" hidden="false" customHeight="true" outlineLevel="0" collapsed="false">
      <c r="A21" s="13" t="s">
        <v>328</v>
      </c>
      <c r="B21" s="5" t="s">
        <v>312</v>
      </c>
      <c r="C21" s="11" t="n">
        <v>10</v>
      </c>
      <c r="D21" s="16" t="n">
        <f aca="false">IFERROR(IF(NOT(ISNUMBER(C21)),"",IF(C21&lt;=INDEX(Ref!$B$35:$E$37,MATCH(B21,Ref!$A$35:$A$37,0),1),100,IF(C21&lt;=INDEX(Ref!$B$35:$E$37,MATCH(B21,Ref!$A$35:$A$37,0),2),100-(C21-INDEX(Ref!$B$35:$E$37,MATCH(B21,Ref!$A$35:$A$37,0),1))/(INDEX(Ref!$B$35:$E$37,MATCH(B21,Ref!$A$35:$A$37,0),2)-INDEX(Ref!$B$35:$E$37,MATCH(B21,Ref!$A$35:$A$37,0),1))*25,IF(C21&lt;=INDEX(Ref!$B$35:$E$37,MATCH(B21,Ref!$A$35:$A$37,0),3),75-(C21-INDEX(Ref!$B$35:$E$37,MATCH(B21,Ref!$A$35:$A$37,0),2))/(INDEX(Ref!$B$35:$E$37,MATCH(B21,Ref!$A$35:$A$37,0),3)-INDEX(Ref!$B$35:$E$37,MATCH(B21,Ref!$A$35:$A$37,0),2))*25,IF(C21&lt;=INDEX(Ref!$B$35:$E$37,MATCH(B21,Ref!$A$35:$A$37,0),4),50-(C21-INDEX(Ref!$B$35:$E$37,MATCH(B21,Ref!$A$35:$A$37,0),3))/(INDEX(Ref!$B$35:$E$37,MATCH(B21,Ref!$A$35:$A$37,0),4)-INDEX(Ref!$B$35:$E$37,MATCH(B21,Ref!$A$35:$A$37,0),3))*25,MAX(0,25-(C21-INDEX(Ref!$B$35:$E$37,MATCH(B21,Ref!$A$35:$A$37,0),4))/INDEX(Ref!$B$35:$E$37,MATCH(B21,Ref!$A$35:$A$37,0),4)*25)))))),"")</f>
        <v>39.2857142857143</v>
      </c>
      <c r="E21" s="13"/>
      <c r="F21" s="13"/>
      <c r="G21" s="25"/>
    </row>
    <row r="22" customFormat="false" ht="15" hidden="false" customHeight="true" outlineLevel="0" collapsed="false">
      <c r="A22" s="13" t="s">
        <v>329</v>
      </c>
      <c r="B22" s="5" t="s">
        <v>312</v>
      </c>
      <c r="C22" s="11" t="n">
        <v>12</v>
      </c>
      <c r="D22" s="16" t="n">
        <f aca="false">IFERROR(IF(NOT(ISNUMBER(C22)),"",IF(C22&lt;=INDEX(Ref!$B$35:$E$37,MATCH(B22,Ref!$A$35:$A$37,0),1),100,IF(C22&lt;=INDEX(Ref!$B$35:$E$37,MATCH(B22,Ref!$A$35:$A$37,0),2),100-(C22-INDEX(Ref!$B$35:$E$37,MATCH(B22,Ref!$A$35:$A$37,0),1))/(INDEX(Ref!$B$35:$E$37,MATCH(B22,Ref!$A$35:$A$37,0),2)-INDEX(Ref!$B$35:$E$37,MATCH(B22,Ref!$A$35:$A$37,0),1))*25,IF(C22&lt;=INDEX(Ref!$B$35:$E$37,MATCH(B22,Ref!$A$35:$A$37,0),3),75-(C22-INDEX(Ref!$B$35:$E$37,MATCH(B22,Ref!$A$35:$A$37,0),2))/(INDEX(Ref!$B$35:$E$37,MATCH(B22,Ref!$A$35:$A$37,0),3)-INDEX(Ref!$B$35:$E$37,MATCH(B22,Ref!$A$35:$A$37,0),2))*25,IF(C22&lt;=INDEX(Ref!$B$35:$E$37,MATCH(B22,Ref!$A$35:$A$37,0),4),50-(C22-INDEX(Ref!$B$35:$E$37,MATCH(B22,Ref!$A$35:$A$37,0),3))/(INDEX(Ref!$B$35:$E$37,MATCH(B22,Ref!$A$35:$A$37,0),4)-INDEX(Ref!$B$35:$E$37,MATCH(B22,Ref!$A$35:$A$37,0),3))*25,MAX(0,25-(C22-INDEX(Ref!$B$35:$E$37,MATCH(B22,Ref!$A$35:$A$37,0),4))/INDEX(Ref!$B$35:$E$37,MATCH(B22,Ref!$A$35:$A$37,0),4)*25)))))),"")</f>
        <v>32.1428571428571</v>
      </c>
      <c r="E22" s="13"/>
      <c r="F22" s="13"/>
      <c r="G22" s="25"/>
    </row>
    <row r="23" customFormat="false" ht="15" hidden="false" customHeight="true" outlineLevel="0" collapsed="false">
      <c r="A23" s="13" t="s">
        <v>330</v>
      </c>
      <c r="B23" s="5" t="s">
        <v>312</v>
      </c>
      <c r="C23" s="11" t="n">
        <v>14</v>
      </c>
      <c r="D23" s="16" t="n">
        <f aca="false">IFERROR(IF(NOT(ISNUMBER(C23)),"",IF(C23&lt;=INDEX(Ref!$B$35:$E$37,MATCH(B23,Ref!$A$35:$A$37,0),1),100,IF(C23&lt;=INDEX(Ref!$B$35:$E$37,MATCH(B23,Ref!$A$35:$A$37,0),2),100-(C23-INDEX(Ref!$B$35:$E$37,MATCH(B23,Ref!$A$35:$A$37,0),1))/(INDEX(Ref!$B$35:$E$37,MATCH(B23,Ref!$A$35:$A$37,0),2)-INDEX(Ref!$B$35:$E$37,MATCH(B23,Ref!$A$35:$A$37,0),1))*25,IF(C23&lt;=INDEX(Ref!$B$35:$E$37,MATCH(B23,Ref!$A$35:$A$37,0),3),75-(C23-INDEX(Ref!$B$35:$E$37,MATCH(B23,Ref!$A$35:$A$37,0),2))/(INDEX(Ref!$B$35:$E$37,MATCH(B23,Ref!$A$35:$A$37,0),3)-INDEX(Ref!$B$35:$E$37,MATCH(B23,Ref!$A$35:$A$37,0),2))*25,IF(C23&lt;=INDEX(Ref!$B$35:$E$37,MATCH(B23,Ref!$A$35:$A$37,0),4),50-(C23-INDEX(Ref!$B$35:$E$37,MATCH(B23,Ref!$A$35:$A$37,0),3))/(INDEX(Ref!$B$35:$E$37,MATCH(B23,Ref!$A$35:$A$37,0),4)-INDEX(Ref!$B$35:$E$37,MATCH(B23,Ref!$A$35:$A$37,0),3))*25,MAX(0,25-(C23-INDEX(Ref!$B$35:$E$37,MATCH(B23,Ref!$A$35:$A$37,0),4))/INDEX(Ref!$B$35:$E$37,MATCH(B23,Ref!$A$35:$A$37,0),4)*25)))))),"")</f>
        <v>25</v>
      </c>
      <c r="E23" s="13"/>
      <c r="F23" s="13"/>
      <c r="G23" s="25"/>
    </row>
    <row r="24" customFormat="false" ht="15" hidden="false" customHeight="true" outlineLevel="0" collapsed="false">
      <c r="A24" s="13" t="s">
        <v>331</v>
      </c>
      <c r="B24" s="5" t="s">
        <v>312</v>
      </c>
      <c r="C24" s="11" t="n">
        <v>18</v>
      </c>
      <c r="D24" s="16" t="n">
        <f aca="false">IFERROR(IF(NOT(ISNUMBER(C24)),"",IF(C24&lt;=INDEX(Ref!$B$35:$E$37,MATCH(B24,Ref!$A$35:$A$37,0),1),100,IF(C24&lt;=INDEX(Ref!$B$35:$E$37,MATCH(B24,Ref!$A$35:$A$37,0),2),100-(C24-INDEX(Ref!$B$35:$E$37,MATCH(B24,Ref!$A$35:$A$37,0),1))/(INDEX(Ref!$B$35:$E$37,MATCH(B24,Ref!$A$35:$A$37,0),2)-INDEX(Ref!$B$35:$E$37,MATCH(B24,Ref!$A$35:$A$37,0),1))*25,IF(C24&lt;=INDEX(Ref!$B$35:$E$37,MATCH(B24,Ref!$A$35:$A$37,0),3),75-(C24-INDEX(Ref!$B$35:$E$37,MATCH(B24,Ref!$A$35:$A$37,0),2))/(INDEX(Ref!$B$35:$E$37,MATCH(B24,Ref!$A$35:$A$37,0),3)-INDEX(Ref!$B$35:$E$37,MATCH(B24,Ref!$A$35:$A$37,0),2))*25,IF(C24&lt;=INDEX(Ref!$B$35:$E$37,MATCH(B24,Ref!$A$35:$A$37,0),4),50-(C24-INDEX(Ref!$B$35:$E$37,MATCH(B24,Ref!$A$35:$A$37,0),3))/(INDEX(Ref!$B$35:$E$37,MATCH(B24,Ref!$A$35:$A$37,0),4)-INDEX(Ref!$B$35:$E$37,MATCH(B24,Ref!$A$35:$A$37,0),3))*25,MAX(0,25-(C24-INDEX(Ref!$B$35:$E$37,MATCH(B24,Ref!$A$35:$A$37,0),4))/INDEX(Ref!$B$35:$E$37,MATCH(B24,Ref!$A$35:$A$37,0),4)*25)))))),"")</f>
        <v>17.8571428571429</v>
      </c>
      <c r="E24" s="13"/>
      <c r="F24" s="13"/>
      <c r="G24" s="25"/>
    </row>
    <row r="25" customFormat="false" ht="15" hidden="false" customHeight="true" outlineLevel="0" collapsed="false">
      <c r="A25" s="13" t="s">
        <v>332</v>
      </c>
      <c r="B25" s="5" t="s">
        <v>333</v>
      </c>
      <c r="C25" s="11" t="n">
        <v>5</v>
      </c>
      <c r="D25" s="16" t="n">
        <f aca="false">IFERROR(IF(NOT(ISNUMBER(C25)),"",IF(C25&lt;=INDEX(Ref!$B$35:$E$37,MATCH(B25,Ref!$A$35:$A$37,0),1),100,IF(C25&lt;=INDEX(Ref!$B$35:$E$37,MATCH(B25,Ref!$A$35:$A$37,0),2),100-(C25-INDEX(Ref!$B$35:$E$37,MATCH(B25,Ref!$A$35:$A$37,0),1))/(INDEX(Ref!$B$35:$E$37,MATCH(B25,Ref!$A$35:$A$37,0),2)-INDEX(Ref!$B$35:$E$37,MATCH(B25,Ref!$A$35:$A$37,0),1))*25,IF(C25&lt;=INDEX(Ref!$B$35:$E$37,MATCH(B25,Ref!$A$35:$A$37,0),3),75-(C25-INDEX(Ref!$B$35:$E$37,MATCH(B25,Ref!$A$35:$A$37,0),2))/(INDEX(Ref!$B$35:$E$37,MATCH(B25,Ref!$A$35:$A$37,0),3)-INDEX(Ref!$B$35:$E$37,MATCH(B25,Ref!$A$35:$A$37,0),2))*25,IF(C25&lt;=INDEX(Ref!$B$35:$E$37,MATCH(B25,Ref!$A$35:$A$37,0),4),50-(C25-INDEX(Ref!$B$35:$E$37,MATCH(B25,Ref!$A$35:$A$37,0),3))/(INDEX(Ref!$B$35:$E$37,MATCH(B25,Ref!$A$35:$A$37,0),4)-INDEX(Ref!$B$35:$E$37,MATCH(B25,Ref!$A$35:$A$37,0),3))*25,MAX(0,25-(C25-INDEX(Ref!$B$35:$E$37,MATCH(B25,Ref!$A$35:$A$37,0),4))/INDEX(Ref!$B$35:$E$37,MATCH(B25,Ref!$A$35:$A$37,0),4)*25)))))),"")</f>
        <v>100</v>
      </c>
      <c r="E25" s="13"/>
      <c r="F25" s="13"/>
      <c r="G25" s="25"/>
    </row>
    <row r="26" customFormat="false" ht="15" hidden="false" customHeight="true" outlineLevel="0" collapsed="false">
      <c r="A26" s="13" t="s">
        <v>334</v>
      </c>
      <c r="B26" s="5" t="s">
        <v>333</v>
      </c>
      <c r="C26" s="11" t="n">
        <v>7</v>
      </c>
      <c r="D26" s="16" t="n">
        <f aca="false">IFERROR(IF(NOT(ISNUMBER(C26)),"",IF(C26&lt;=INDEX(Ref!$B$35:$E$37,MATCH(B26,Ref!$A$35:$A$37,0),1),100,IF(C26&lt;=INDEX(Ref!$B$35:$E$37,MATCH(B26,Ref!$A$35:$A$37,0),2),100-(C26-INDEX(Ref!$B$35:$E$37,MATCH(B26,Ref!$A$35:$A$37,0),1))/(INDEX(Ref!$B$35:$E$37,MATCH(B26,Ref!$A$35:$A$37,0),2)-INDEX(Ref!$B$35:$E$37,MATCH(B26,Ref!$A$35:$A$37,0),1))*25,IF(C26&lt;=INDEX(Ref!$B$35:$E$37,MATCH(B26,Ref!$A$35:$A$37,0),3),75-(C26-INDEX(Ref!$B$35:$E$37,MATCH(B26,Ref!$A$35:$A$37,0),2))/(INDEX(Ref!$B$35:$E$37,MATCH(B26,Ref!$A$35:$A$37,0),3)-INDEX(Ref!$B$35:$E$37,MATCH(B26,Ref!$A$35:$A$37,0),2))*25,IF(C26&lt;=INDEX(Ref!$B$35:$E$37,MATCH(B26,Ref!$A$35:$A$37,0),4),50-(C26-INDEX(Ref!$B$35:$E$37,MATCH(B26,Ref!$A$35:$A$37,0),3))/(INDEX(Ref!$B$35:$E$37,MATCH(B26,Ref!$A$35:$A$37,0),4)-INDEX(Ref!$B$35:$E$37,MATCH(B26,Ref!$A$35:$A$37,0),3))*25,MAX(0,25-(C26-INDEX(Ref!$B$35:$E$37,MATCH(B26,Ref!$A$35:$A$37,0),4))/INDEX(Ref!$B$35:$E$37,MATCH(B26,Ref!$A$35:$A$37,0),4)*25)))))),"")</f>
        <v>92.8571428571429</v>
      </c>
      <c r="E26" s="13"/>
      <c r="F26" s="13"/>
      <c r="G26" s="25"/>
    </row>
    <row r="27" customFormat="false" ht="15" hidden="false" customHeight="true" outlineLevel="0" collapsed="false">
      <c r="A27" s="13" t="s">
        <v>335</v>
      </c>
      <c r="B27" s="5" t="s">
        <v>333</v>
      </c>
      <c r="C27" s="11" t="n">
        <v>9</v>
      </c>
      <c r="D27" s="16" t="n">
        <f aca="false">IFERROR(IF(NOT(ISNUMBER(C27)),"",IF(C27&lt;=INDEX(Ref!$B$35:$E$37,MATCH(B27,Ref!$A$35:$A$37,0),1),100,IF(C27&lt;=INDEX(Ref!$B$35:$E$37,MATCH(B27,Ref!$A$35:$A$37,0),2),100-(C27-INDEX(Ref!$B$35:$E$37,MATCH(B27,Ref!$A$35:$A$37,0),1))/(INDEX(Ref!$B$35:$E$37,MATCH(B27,Ref!$A$35:$A$37,0),2)-INDEX(Ref!$B$35:$E$37,MATCH(B27,Ref!$A$35:$A$37,0),1))*25,IF(C27&lt;=INDEX(Ref!$B$35:$E$37,MATCH(B27,Ref!$A$35:$A$37,0),3),75-(C27-INDEX(Ref!$B$35:$E$37,MATCH(B27,Ref!$A$35:$A$37,0),2))/(INDEX(Ref!$B$35:$E$37,MATCH(B27,Ref!$A$35:$A$37,0),3)-INDEX(Ref!$B$35:$E$37,MATCH(B27,Ref!$A$35:$A$37,0),2))*25,IF(C27&lt;=INDEX(Ref!$B$35:$E$37,MATCH(B27,Ref!$A$35:$A$37,0),4),50-(C27-INDEX(Ref!$B$35:$E$37,MATCH(B27,Ref!$A$35:$A$37,0),3))/(INDEX(Ref!$B$35:$E$37,MATCH(B27,Ref!$A$35:$A$37,0),4)-INDEX(Ref!$B$35:$E$37,MATCH(B27,Ref!$A$35:$A$37,0),3))*25,MAX(0,25-(C27-INDEX(Ref!$B$35:$E$37,MATCH(B27,Ref!$A$35:$A$37,0),4))/INDEX(Ref!$B$35:$E$37,MATCH(B27,Ref!$A$35:$A$37,0),4)*25)))))),"")</f>
        <v>85.7142857142857</v>
      </c>
      <c r="E27" s="13"/>
      <c r="F27" s="13"/>
      <c r="G27" s="25"/>
    </row>
    <row r="28" customFormat="false" ht="15" hidden="false" customHeight="true" outlineLevel="0" collapsed="false">
      <c r="A28" s="13" t="s">
        <v>336</v>
      </c>
      <c r="B28" s="5" t="s">
        <v>333</v>
      </c>
      <c r="C28" s="11" t="n">
        <v>10</v>
      </c>
      <c r="D28" s="16" t="n">
        <f aca="false">IFERROR(IF(NOT(ISNUMBER(C28)),"",IF(C28&lt;=INDEX(Ref!$B$35:$E$37,MATCH(B28,Ref!$A$35:$A$37,0),1),100,IF(C28&lt;=INDEX(Ref!$B$35:$E$37,MATCH(B28,Ref!$A$35:$A$37,0),2),100-(C28-INDEX(Ref!$B$35:$E$37,MATCH(B28,Ref!$A$35:$A$37,0),1))/(INDEX(Ref!$B$35:$E$37,MATCH(B28,Ref!$A$35:$A$37,0),2)-INDEX(Ref!$B$35:$E$37,MATCH(B28,Ref!$A$35:$A$37,0),1))*25,IF(C28&lt;=INDEX(Ref!$B$35:$E$37,MATCH(B28,Ref!$A$35:$A$37,0),3),75-(C28-INDEX(Ref!$B$35:$E$37,MATCH(B28,Ref!$A$35:$A$37,0),2))/(INDEX(Ref!$B$35:$E$37,MATCH(B28,Ref!$A$35:$A$37,0),3)-INDEX(Ref!$B$35:$E$37,MATCH(B28,Ref!$A$35:$A$37,0),2))*25,IF(C28&lt;=INDEX(Ref!$B$35:$E$37,MATCH(B28,Ref!$A$35:$A$37,0),4),50-(C28-INDEX(Ref!$B$35:$E$37,MATCH(B28,Ref!$A$35:$A$37,0),3))/(INDEX(Ref!$B$35:$E$37,MATCH(B28,Ref!$A$35:$A$37,0),4)-INDEX(Ref!$B$35:$E$37,MATCH(B28,Ref!$A$35:$A$37,0),3))*25,MAX(0,25-(C28-INDEX(Ref!$B$35:$E$37,MATCH(B28,Ref!$A$35:$A$37,0),4))/INDEX(Ref!$B$35:$E$37,MATCH(B28,Ref!$A$35:$A$37,0),4)*25)))))),"")</f>
        <v>82.1428571428571</v>
      </c>
      <c r="E28" s="13"/>
      <c r="F28" s="13"/>
      <c r="G28" s="25"/>
    </row>
    <row r="29" customFormat="false" ht="15" hidden="false" customHeight="true" outlineLevel="0" collapsed="false">
      <c r="A29" s="13" t="s">
        <v>337</v>
      </c>
      <c r="B29" s="5" t="s">
        <v>333</v>
      </c>
      <c r="C29" s="11" t="n">
        <v>11</v>
      </c>
      <c r="D29" s="16" t="n">
        <f aca="false">IFERROR(IF(NOT(ISNUMBER(C29)),"",IF(C29&lt;=INDEX(Ref!$B$35:$E$37,MATCH(B29,Ref!$A$35:$A$37,0),1),100,IF(C29&lt;=INDEX(Ref!$B$35:$E$37,MATCH(B29,Ref!$A$35:$A$37,0),2),100-(C29-INDEX(Ref!$B$35:$E$37,MATCH(B29,Ref!$A$35:$A$37,0),1))/(INDEX(Ref!$B$35:$E$37,MATCH(B29,Ref!$A$35:$A$37,0),2)-INDEX(Ref!$B$35:$E$37,MATCH(B29,Ref!$A$35:$A$37,0),1))*25,IF(C29&lt;=INDEX(Ref!$B$35:$E$37,MATCH(B29,Ref!$A$35:$A$37,0),3),75-(C29-INDEX(Ref!$B$35:$E$37,MATCH(B29,Ref!$A$35:$A$37,0),2))/(INDEX(Ref!$B$35:$E$37,MATCH(B29,Ref!$A$35:$A$37,0),3)-INDEX(Ref!$B$35:$E$37,MATCH(B29,Ref!$A$35:$A$37,0),2))*25,IF(C29&lt;=INDEX(Ref!$B$35:$E$37,MATCH(B29,Ref!$A$35:$A$37,0),4),50-(C29-INDEX(Ref!$B$35:$E$37,MATCH(B29,Ref!$A$35:$A$37,0),3))/(INDEX(Ref!$B$35:$E$37,MATCH(B29,Ref!$A$35:$A$37,0),4)-INDEX(Ref!$B$35:$E$37,MATCH(B29,Ref!$A$35:$A$37,0),3))*25,MAX(0,25-(C29-INDEX(Ref!$B$35:$E$37,MATCH(B29,Ref!$A$35:$A$37,0),4))/INDEX(Ref!$B$35:$E$37,MATCH(B29,Ref!$A$35:$A$37,0),4)*25)))))),"")</f>
        <v>78.5714285714286</v>
      </c>
      <c r="E29" s="13"/>
      <c r="F29" s="13"/>
      <c r="G29" s="25"/>
    </row>
    <row r="30" customFormat="false" ht="15" hidden="false" customHeight="true" outlineLevel="0" collapsed="false">
      <c r="A30" s="13" t="s">
        <v>338</v>
      </c>
      <c r="B30" s="5" t="s">
        <v>333</v>
      </c>
      <c r="C30" s="11" t="n">
        <v>12</v>
      </c>
      <c r="D30" s="16" t="n">
        <f aca="false">IFERROR(IF(NOT(ISNUMBER(C30)),"",IF(C30&lt;=INDEX(Ref!$B$35:$E$37,MATCH(B30,Ref!$A$35:$A$37,0),1),100,IF(C30&lt;=INDEX(Ref!$B$35:$E$37,MATCH(B30,Ref!$A$35:$A$37,0),2),100-(C30-INDEX(Ref!$B$35:$E$37,MATCH(B30,Ref!$A$35:$A$37,0),1))/(INDEX(Ref!$B$35:$E$37,MATCH(B30,Ref!$A$35:$A$37,0),2)-INDEX(Ref!$B$35:$E$37,MATCH(B30,Ref!$A$35:$A$37,0),1))*25,IF(C30&lt;=INDEX(Ref!$B$35:$E$37,MATCH(B30,Ref!$A$35:$A$37,0),3),75-(C30-INDEX(Ref!$B$35:$E$37,MATCH(B30,Ref!$A$35:$A$37,0),2))/(INDEX(Ref!$B$35:$E$37,MATCH(B30,Ref!$A$35:$A$37,0),3)-INDEX(Ref!$B$35:$E$37,MATCH(B30,Ref!$A$35:$A$37,0),2))*25,IF(C30&lt;=INDEX(Ref!$B$35:$E$37,MATCH(B30,Ref!$A$35:$A$37,0),4),50-(C30-INDEX(Ref!$B$35:$E$37,MATCH(B30,Ref!$A$35:$A$37,0),3))/(INDEX(Ref!$B$35:$E$37,MATCH(B30,Ref!$A$35:$A$37,0),4)-INDEX(Ref!$B$35:$E$37,MATCH(B30,Ref!$A$35:$A$37,0),3))*25,MAX(0,25-(C30-INDEX(Ref!$B$35:$E$37,MATCH(B30,Ref!$A$35:$A$37,0),4))/INDEX(Ref!$B$35:$E$37,MATCH(B30,Ref!$A$35:$A$37,0),4)*25)))))),"")</f>
        <v>75</v>
      </c>
      <c r="E30" s="13"/>
      <c r="F30" s="13"/>
      <c r="G30" s="25"/>
    </row>
    <row r="31" customFormat="false" ht="15" hidden="false" customHeight="true" outlineLevel="0" collapsed="false">
      <c r="A31" s="13" t="s">
        <v>339</v>
      </c>
      <c r="B31" s="5" t="s">
        <v>333</v>
      </c>
      <c r="C31" s="11" t="n">
        <v>14</v>
      </c>
      <c r="D31" s="16" t="n">
        <f aca="false">IFERROR(IF(NOT(ISNUMBER(C31)),"",IF(C31&lt;=INDEX(Ref!$B$35:$E$37,MATCH(B31,Ref!$A$35:$A$37,0),1),100,IF(C31&lt;=INDEX(Ref!$B$35:$E$37,MATCH(B31,Ref!$A$35:$A$37,0),2),100-(C31-INDEX(Ref!$B$35:$E$37,MATCH(B31,Ref!$A$35:$A$37,0),1))/(INDEX(Ref!$B$35:$E$37,MATCH(B31,Ref!$A$35:$A$37,0),2)-INDEX(Ref!$B$35:$E$37,MATCH(B31,Ref!$A$35:$A$37,0),1))*25,IF(C31&lt;=INDEX(Ref!$B$35:$E$37,MATCH(B31,Ref!$A$35:$A$37,0),3),75-(C31-INDEX(Ref!$B$35:$E$37,MATCH(B31,Ref!$A$35:$A$37,0),2))/(INDEX(Ref!$B$35:$E$37,MATCH(B31,Ref!$A$35:$A$37,0),3)-INDEX(Ref!$B$35:$E$37,MATCH(B31,Ref!$A$35:$A$37,0),2))*25,IF(C31&lt;=INDEX(Ref!$B$35:$E$37,MATCH(B31,Ref!$A$35:$A$37,0),4),50-(C31-INDEX(Ref!$B$35:$E$37,MATCH(B31,Ref!$A$35:$A$37,0),3))/(INDEX(Ref!$B$35:$E$37,MATCH(B31,Ref!$A$35:$A$37,0),4)-INDEX(Ref!$B$35:$E$37,MATCH(B31,Ref!$A$35:$A$37,0),3))*25,MAX(0,25-(C31-INDEX(Ref!$B$35:$E$37,MATCH(B31,Ref!$A$35:$A$37,0),4))/INDEX(Ref!$B$35:$E$37,MATCH(B31,Ref!$A$35:$A$37,0),4)*25)))))),"")</f>
        <v>70</v>
      </c>
      <c r="E31" s="13"/>
      <c r="F31" s="13"/>
      <c r="G31" s="25"/>
    </row>
    <row r="32" customFormat="false" ht="15" hidden="false" customHeight="true" outlineLevel="0" collapsed="false">
      <c r="A32" s="13" t="s">
        <v>340</v>
      </c>
      <c r="B32" s="5" t="s">
        <v>333</v>
      </c>
      <c r="C32" s="11" t="n">
        <v>16</v>
      </c>
      <c r="D32" s="16" t="n">
        <f aca="false">IFERROR(IF(NOT(ISNUMBER(C32)),"",IF(C32&lt;=INDEX(Ref!$B$35:$E$37,MATCH(B32,Ref!$A$35:$A$37,0),1),100,IF(C32&lt;=INDEX(Ref!$B$35:$E$37,MATCH(B32,Ref!$A$35:$A$37,0),2),100-(C32-INDEX(Ref!$B$35:$E$37,MATCH(B32,Ref!$A$35:$A$37,0),1))/(INDEX(Ref!$B$35:$E$37,MATCH(B32,Ref!$A$35:$A$37,0),2)-INDEX(Ref!$B$35:$E$37,MATCH(B32,Ref!$A$35:$A$37,0),1))*25,IF(C32&lt;=INDEX(Ref!$B$35:$E$37,MATCH(B32,Ref!$A$35:$A$37,0),3),75-(C32-INDEX(Ref!$B$35:$E$37,MATCH(B32,Ref!$A$35:$A$37,0),2))/(INDEX(Ref!$B$35:$E$37,MATCH(B32,Ref!$A$35:$A$37,0),3)-INDEX(Ref!$B$35:$E$37,MATCH(B32,Ref!$A$35:$A$37,0),2))*25,IF(C32&lt;=INDEX(Ref!$B$35:$E$37,MATCH(B32,Ref!$A$35:$A$37,0),4),50-(C32-INDEX(Ref!$B$35:$E$37,MATCH(B32,Ref!$A$35:$A$37,0),3))/(INDEX(Ref!$B$35:$E$37,MATCH(B32,Ref!$A$35:$A$37,0),4)-INDEX(Ref!$B$35:$E$37,MATCH(B32,Ref!$A$35:$A$37,0),3))*25,MAX(0,25-(C32-INDEX(Ref!$B$35:$E$37,MATCH(B32,Ref!$A$35:$A$37,0),4))/INDEX(Ref!$B$35:$E$37,MATCH(B32,Ref!$A$35:$A$37,0),4)*25)))))),"")</f>
        <v>65</v>
      </c>
      <c r="E32" s="13"/>
      <c r="F32" s="13"/>
      <c r="G32" s="25"/>
    </row>
    <row r="33" customFormat="false" ht="15" hidden="false" customHeight="true" outlineLevel="0" collapsed="false">
      <c r="A33" s="13" t="s">
        <v>341</v>
      </c>
      <c r="B33" s="5" t="s">
        <v>333</v>
      </c>
      <c r="C33" s="11" t="n">
        <v>18</v>
      </c>
      <c r="D33" s="16" t="n">
        <f aca="false">IFERROR(IF(NOT(ISNUMBER(C33)),"",IF(C33&lt;=INDEX(Ref!$B$35:$E$37,MATCH(B33,Ref!$A$35:$A$37,0),1),100,IF(C33&lt;=INDEX(Ref!$B$35:$E$37,MATCH(B33,Ref!$A$35:$A$37,0),2),100-(C33-INDEX(Ref!$B$35:$E$37,MATCH(B33,Ref!$A$35:$A$37,0),1))/(INDEX(Ref!$B$35:$E$37,MATCH(B33,Ref!$A$35:$A$37,0),2)-INDEX(Ref!$B$35:$E$37,MATCH(B33,Ref!$A$35:$A$37,0),1))*25,IF(C33&lt;=INDEX(Ref!$B$35:$E$37,MATCH(B33,Ref!$A$35:$A$37,0),3),75-(C33-INDEX(Ref!$B$35:$E$37,MATCH(B33,Ref!$A$35:$A$37,0),2))/(INDEX(Ref!$B$35:$E$37,MATCH(B33,Ref!$A$35:$A$37,0),3)-INDEX(Ref!$B$35:$E$37,MATCH(B33,Ref!$A$35:$A$37,0),2))*25,IF(C33&lt;=INDEX(Ref!$B$35:$E$37,MATCH(B33,Ref!$A$35:$A$37,0),4),50-(C33-INDEX(Ref!$B$35:$E$37,MATCH(B33,Ref!$A$35:$A$37,0),3))/(INDEX(Ref!$B$35:$E$37,MATCH(B33,Ref!$A$35:$A$37,0),4)-INDEX(Ref!$B$35:$E$37,MATCH(B33,Ref!$A$35:$A$37,0),3))*25,MAX(0,25-(C33-INDEX(Ref!$B$35:$E$37,MATCH(B33,Ref!$A$35:$A$37,0),4))/INDEX(Ref!$B$35:$E$37,MATCH(B33,Ref!$A$35:$A$37,0),4)*25)))))),"")</f>
        <v>60</v>
      </c>
      <c r="E33" s="13"/>
      <c r="F33" s="13"/>
      <c r="G33" s="25"/>
    </row>
    <row r="34" customFormat="false" ht="15" hidden="false" customHeight="true" outlineLevel="0" collapsed="false">
      <c r="A34" s="13" t="s">
        <v>342</v>
      </c>
      <c r="B34" s="5" t="s">
        <v>333</v>
      </c>
      <c r="C34" s="11" t="n">
        <v>20</v>
      </c>
      <c r="D34" s="16" t="n">
        <f aca="false">IFERROR(IF(NOT(ISNUMBER(C34)),"",IF(C34&lt;=INDEX(Ref!$B$35:$E$37,MATCH(B34,Ref!$A$35:$A$37,0),1),100,IF(C34&lt;=INDEX(Ref!$B$35:$E$37,MATCH(B34,Ref!$A$35:$A$37,0),2),100-(C34-INDEX(Ref!$B$35:$E$37,MATCH(B34,Ref!$A$35:$A$37,0),1))/(INDEX(Ref!$B$35:$E$37,MATCH(B34,Ref!$A$35:$A$37,0),2)-INDEX(Ref!$B$35:$E$37,MATCH(B34,Ref!$A$35:$A$37,0),1))*25,IF(C34&lt;=INDEX(Ref!$B$35:$E$37,MATCH(B34,Ref!$A$35:$A$37,0),3),75-(C34-INDEX(Ref!$B$35:$E$37,MATCH(B34,Ref!$A$35:$A$37,0),2))/(INDEX(Ref!$B$35:$E$37,MATCH(B34,Ref!$A$35:$A$37,0),3)-INDEX(Ref!$B$35:$E$37,MATCH(B34,Ref!$A$35:$A$37,0),2))*25,IF(C34&lt;=INDEX(Ref!$B$35:$E$37,MATCH(B34,Ref!$A$35:$A$37,0),4),50-(C34-INDEX(Ref!$B$35:$E$37,MATCH(B34,Ref!$A$35:$A$37,0),3))/(INDEX(Ref!$B$35:$E$37,MATCH(B34,Ref!$A$35:$A$37,0),4)-INDEX(Ref!$B$35:$E$37,MATCH(B34,Ref!$A$35:$A$37,0),3))*25,MAX(0,25-(C34-INDEX(Ref!$B$35:$E$37,MATCH(B34,Ref!$A$35:$A$37,0),4))/INDEX(Ref!$B$35:$E$37,MATCH(B34,Ref!$A$35:$A$37,0),4)*25)))))),"")</f>
        <v>55</v>
      </c>
      <c r="E34" s="13"/>
      <c r="F34" s="13"/>
      <c r="G34" s="25"/>
    </row>
    <row r="35" customFormat="false" ht="15" hidden="false" customHeight="true" outlineLevel="0" collapsed="false">
      <c r="A35" s="13" t="s">
        <v>343</v>
      </c>
      <c r="B35" s="5" t="s">
        <v>333</v>
      </c>
      <c r="C35" s="11" t="n">
        <v>22</v>
      </c>
      <c r="D35" s="16" t="n">
        <f aca="false">IFERROR(IF(NOT(ISNUMBER(C35)),"",IF(C35&lt;=INDEX(Ref!$B$35:$E$37,MATCH(B35,Ref!$A$35:$A$37,0),1),100,IF(C35&lt;=INDEX(Ref!$B$35:$E$37,MATCH(B35,Ref!$A$35:$A$37,0),2),100-(C35-INDEX(Ref!$B$35:$E$37,MATCH(B35,Ref!$A$35:$A$37,0),1))/(INDEX(Ref!$B$35:$E$37,MATCH(B35,Ref!$A$35:$A$37,0),2)-INDEX(Ref!$B$35:$E$37,MATCH(B35,Ref!$A$35:$A$37,0),1))*25,IF(C35&lt;=INDEX(Ref!$B$35:$E$37,MATCH(B35,Ref!$A$35:$A$37,0),3),75-(C35-INDEX(Ref!$B$35:$E$37,MATCH(B35,Ref!$A$35:$A$37,0),2))/(INDEX(Ref!$B$35:$E$37,MATCH(B35,Ref!$A$35:$A$37,0),3)-INDEX(Ref!$B$35:$E$37,MATCH(B35,Ref!$A$35:$A$37,0),2))*25,IF(C35&lt;=INDEX(Ref!$B$35:$E$37,MATCH(B35,Ref!$A$35:$A$37,0),4),50-(C35-INDEX(Ref!$B$35:$E$37,MATCH(B35,Ref!$A$35:$A$37,0),3))/(INDEX(Ref!$B$35:$E$37,MATCH(B35,Ref!$A$35:$A$37,0),4)-INDEX(Ref!$B$35:$E$37,MATCH(B35,Ref!$A$35:$A$37,0),3))*25,MAX(0,25-(C35-INDEX(Ref!$B$35:$E$37,MATCH(B35,Ref!$A$35:$A$37,0),4))/INDEX(Ref!$B$35:$E$37,MATCH(B35,Ref!$A$35:$A$37,0),4)*25)))))),"")</f>
        <v>50</v>
      </c>
      <c r="E35" s="13"/>
      <c r="F35" s="13"/>
      <c r="G35" s="25"/>
    </row>
    <row r="36" customFormat="false" ht="15" hidden="false" customHeight="true" outlineLevel="0" collapsed="false">
      <c r="A36" s="13" t="s">
        <v>344</v>
      </c>
      <c r="B36" s="5" t="s">
        <v>333</v>
      </c>
      <c r="C36" s="11" t="n">
        <v>26</v>
      </c>
      <c r="D36" s="16" t="n">
        <f aca="false">IFERROR(IF(NOT(ISNUMBER(C36)),"",IF(C36&lt;=INDEX(Ref!$B$35:$E$37,MATCH(B36,Ref!$A$35:$A$37,0),1),100,IF(C36&lt;=INDEX(Ref!$B$35:$E$37,MATCH(B36,Ref!$A$35:$A$37,0),2),100-(C36-INDEX(Ref!$B$35:$E$37,MATCH(B36,Ref!$A$35:$A$37,0),1))/(INDEX(Ref!$B$35:$E$37,MATCH(B36,Ref!$A$35:$A$37,0),2)-INDEX(Ref!$B$35:$E$37,MATCH(B36,Ref!$A$35:$A$37,0),1))*25,IF(C36&lt;=INDEX(Ref!$B$35:$E$37,MATCH(B36,Ref!$A$35:$A$37,0),3),75-(C36-INDEX(Ref!$B$35:$E$37,MATCH(B36,Ref!$A$35:$A$37,0),2))/(INDEX(Ref!$B$35:$E$37,MATCH(B36,Ref!$A$35:$A$37,0),3)-INDEX(Ref!$B$35:$E$37,MATCH(B36,Ref!$A$35:$A$37,0),2))*25,IF(C36&lt;=INDEX(Ref!$B$35:$E$37,MATCH(B36,Ref!$A$35:$A$37,0),4),50-(C36-INDEX(Ref!$B$35:$E$37,MATCH(B36,Ref!$A$35:$A$37,0),3))/(INDEX(Ref!$B$35:$E$37,MATCH(B36,Ref!$A$35:$A$37,0),4)-INDEX(Ref!$B$35:$E$37,MATCH(B36,Ref!$A$35:$A$37,0),3))*25,MAX(0,25-(C36-INDEX(Ref!$B$35:$E$37,MATCH(B36,Ref!$A$35:$A$37,0),4))/INDEX(Ref!$B$35:$E$37,MATCH(B36,Ref!$A$35:$A$37,0),4)*25)))))),"")</f>
        <v>42.3076923076923</v>
      </c>
      <c r="E36" s="13"/>
      <c r="F36" s="13"/>
      <c r="G36" s="25"/>
    </row>
    <row r="37" customFormat="false" ht="15" hidden="false" customHeight="true" outlineLevel="0" collapsed="false">
      <c r="A37" s="13" t="s">
        <v>345</v>
      </c>
      <c r="B37" s="5" t="s">
        <v>333</v>
      </c>
      <c r="C37" s="11" t="n">
        <v>30</v>
      </c>
      <c r="D37" s="16" t="n">
        <f aca="false">IFERROR(IF(NOT(ISNUMBER(C37)),"",IF(C37&lt;=INDEX(Ref!$B$35:$E$37,MATCH(B37,Ref!$A$35:$A$37,0),1),100,IF(C37&lt;=INDEX(Ref!$B$35:$E$37,MATCH(B37,Ref!$A$35:$A$37,0),2),100-(C37-INDEX(Ref!$B$35:$E$37,MATCH(B37,Ref!$A$35:$A$37,0),1))/(INDEX(Ref!$B$35:$E$37,MATCH(B37,Ref!$A$35:$A$37,0),2)-INDEX(Ref!$B$35:$E$37,MATCH(B37,Ref!$A$35:$A$37,0),1))*25,IF(C37&lt;=INDEX(Ref!$B$35:$E$37,MATCH(B37,Ref!$A$35:$A$37,0),3),75-(C37-INDEX(Ref!$B$35:$E$37,MATCH(B37,Ref!$A$35:$A$37,0),2))/(INDEX(Ref!$B$35:$E$37,MATCH(B37,Ref!$A$35:$A$37,0),3)-INDEX(Ref!$B$35:$E$37,MATCH(B37,Ref!$A$35:$A$37,0),2))*25,IF(C37&lt;=INDEX(Ref!$B$35:$E$37,MATCH(B37,Ref!$A$35:$A$37,0),4),50-(C37-INDEX(Ref!$B$35:$E$37,MATCH(B37,Ref!$A$35:$A$37,0),3))/(INDEX(Ref!$B$35:$E$37,MATCH(B37,Ref!$A$35:$A$37,0),4)-INDEX(Ref!$B$35:$E$37,MATCH(B37,Ref!$A$35:$A$37,0),3))*25,MAX(0,25-(C37-INDEX(Ref!$B$35:$E$37,MATCH(B37,Ref!$A$35:$A$37,0),4))/INDEX(Ref!$B$35:$E$37,MATCH(B37,Ref!$A$35:$A$37,0),4)*25)))))),"")</f>
        <v>34.6153846153846</v>
      </c>
      <c r="E37" s="13"/>
      <c r="F37" s="13"/>
      <c r="G37" s="25"/>
    </row>
    <row r="38" customFormat="false" ht="15" hidden="false" customHeight="true" outlineLevel="0" collapsed="false">
      <c r="A38" s="13" t="s">
        <v>346</v>
      </c>
      <c r="B38" s="5" t="s">
        <v>333</v>
      </c>
      <c r="C38" s="11" t="n">
        <v>34</v>
      </c>
      <c r="D38" s="16" t="n">
        <f aca="false">IFERROR(IF(NOT(ISNUMBER(C38)),"",IF(C38&lt;=INDEX(Ref!$B$35:$E$37,MATCH(B38,Ref!$A$35:$A$37,0),1),100,IF(C38&lt;=INDEX(Ref!$B$35:$E$37,MATCH(B38,Ref!$A$35:$A$37,0),2),100-(C38-INDEX(Ref!$B$35:$E$37,MATCH(B38,Ref!$A$35:$A$37,0),1))/(INDEX(Ref!$B$35:$E$37,MATCH(B38,Ref!$A$35:$A$37,0),2)-INDEX(Ref!$B$35:$E$37,MATCH(B38,Ref!$A$35:$A$37,0),1))*25,IF(C38&lt;=INDEX(Ref!$B$35:$E$37,MATCH(B38,Ref!$A$35:$A$37,0),3),75-(C38-INDEX(Ref!$B$35:$E$37,MATCH(B38,Ref!$A$35:$A$37,0),2))/(INDEX(Ref!$B$35:$E$37,MATCH(B38,Ref!$A$35:$A$37,0),3)-INDEX(Ref!$B$35:$E$37,MATCH(B38,Ref!$A$35:$A$37,0),2))*25,IF(C38&lt;=INDEX(Ref!$B$35:$E$37,MATCH(B38,Ref!$A$35:$A$37,0),4),50-(C38-INDEX(Ref!$B$35:$E$37,MATCH(B38,Ref!$A$35:$A$37,0),3))/(INDEX(Ref!$B$35:$E$37,MATCH(B38,Ref!$A$35:$A$37,0),4)-INDEX(Ref!$B$35:$E$37,MATCH(B38,Ref!$A$35:$A$37,0),3))*25,MAX(0,25-(C38-INDEX(Ref!$B$35:$E$37,MATCH(B38,Ref!$A$35:$A$37,0),4))/INDEX(Ref!$B$35:$E$37,MATCH(B38,Ref!$A$35:$A$37,0),4)*25)))))),"")</f>
        <v>26.9230769230769</v>
      </c>
      <c r="E38" s="13"/>
      <c r="F38" s="13"/>
      <c r="G38" s="25"/>
    </row>
    <row r="39" customFormat="false" ht="15" hidden="false" customHeight="true" outlineLevel="0" collapsed="false">
      <c r="A39" s="13" t="s">
        <v>347</v>
      </c>
      <c r="B39" s="5" t="s">
        <v>333</v>
      </c>
      <c r="C39" s="11" t="n">
        <v>40</v>
      </c>
      <c r="D39" s="16" t="n">
        <f aca="false">IFERROR(IF(NOT(ISNUMBER(C39)),"",IF(C39&lt;=INDEX(Ref!$B$35:$E$37,MATCH(B39,Ref!$A$35:$A$37,0),1),100,IF(C39&lt;=INDEX(Ref!$B$35:$E$37,MATCH(B39,Ref!$A$35:$A$37,0),2),100-(C39-INDEX(Ref!$B$35:$E$37,MATCH(B39,Ref!$A$35:$A$37,0),1))/(INDEX(Ref!$B$35:$E$37,MATCH(B39,Ref!$A$35:$A$37,0),2)-INDEX(Ref!$B$35:$E$37,MATCH(B39,Ref!$A$35:$A$37,0),1))*25,IF(C39&lt;=INDEX(Ref!$B$35:$E$37,MATCH(B39,Ref!$A$35:$A$37,0),3),75-(C39-INDEX(Ref!$B$35:$E$37,MATCH(B39,Ref!$A$35:$A$37,0),2))/(INDEX(Ref!$B$35:$E$37,MATCH(B39,Ref!$A$35:$A$37,0),3)-INDEX(Ref!$B$35:$E$37,MATCH(B39,Ref!$A$35:$A$37,0),2))*25,IF(C39&lt;=INDEX(Ref!$B$35:$E$37,MATCH(B39,Ref!$A$35:$A$37,0),4),50-(C39-INDEX(Ref!$B$35:$E$37,MATCH(B39,Ref!$A$35:$A$37,0),3))/(INDEX(Ref!$B$35:$E$37,MATCH(B39,Ref!$A$35:$A$37,0),4)-INDEX(Ref!$B$35:$E$37,MATCH(B39,Ref!$A$35:$A$37,0),3))*25,MAX(0,25-(C39-INDEX(Ref!$B$35:$E$37,MATCH(B39,Ref!$A$35:$A$37,0),4))/INDEX(Ref!$B$35:$E$37,MATCH(B39,Ref!$A$35:$A$37,0),4)*25)))))),"")</f>
        <v>21.4285714285714</v>
      </c>
      <c r="E39" s="13"/>
      <c r="F39" s="13"/>
      <c r="G39" s="25"/>
    </row>
    <row r="40" customFormat="false" ht="15" hidden="false" customHeight="true" outlineLevel="0" collapsed="false">
      <c r="A40" s="13" t="s">
        <v>348</v>
      </c>
      <c r="B40" s="5" t="s">
        <v>349</v>
      </c>
      <c r="C40" s="11" t="n">
        <v>35</v>
      </c>
      <c r="D40" s="16" t="n">
        <f aca="false">IFERROR(IF(NOT(ISNUMBER(C40)),"",IF(C40&lt;=INDEX(Ref!$B$35:$E$37,MATCH(B40,Ref!$A$35:$A$37,0),1),100,IF(C40&lt;=INDEX(Ref!$B$35:$E$37,MATCH(B40,Ref!$A$35:$A$37,0),2),100-(C40-INDEX(Ref!$B$35:$E$37,MATCH(B40,Ref!$A$35:$A$37,0),1))/(INDEX(Ref!$B$35:$E$37,MATCH(B40,Ref!$A$35:$A$37,0),2)-INDEX(Ref!$B$35:$E$37,MATCH(B40,Ref!$A$35:$A$37,0),1))*25,IF(C40&lt;=INDEX(Ref!$B$35:$E$37,MATCH(B40,Ref!$A$35:$A$37,0),3),75-(C40-INDEX(Ref!$B$35:$E$37,MATCH(B40,Ref!$A$35:$A$37,0),2))/(INDEX(Ref!$B$35:$E$37,MATCH(B40,Ref!$A$35:$A$37,0),3)-INDEX(Ref!$B$35:$E$37,MATCH(B40,Ref!$A$35:$A$37,0),2))*25,IF(C40&lt;=INDEX(Ref!$B$35:$E$37,MATCH(B40,Ref!$A$35:$A$37,0),4),50-(C40-INDEX(Ref!$B$35:$E$37,MATCH(B40,Ref!$A$35:$A$37,0),3))/(INDEX(Ref!$B$35:$E$37,MATCH(B40,Ref!$A$35:$A$37,0),4)-INDEX(Ref!$B$35:$E$37,MATCH(B40,Ref!$A$35:$A$37,0),3))*25,MAX(0,25-(C40-INDEX(Ref!$B$35:$E$37,MATCH(B40,Ref!$A$35:$A$37,0),4))/INDEX(Ref!$B$35:$E$37,MATCH(B40,Ref!$A$35:$A$37,0),4)*25)))))),"")</f>
        <v>95.8333333333333</v>
      </c>
      <c r="E40" s="13"/>
      <c r="F40" s="13"/>
      <c r="G40" s="25"/>
    </row>
    <row r="41" customFormat="false" ht="15" hidden="false" customHeight="true" outlineLevel="0" collapsed="false">
      <c r="A41" s="13" t="s">
        <v>350</v>
      </c>
      <c r="B41" s="5" t="s">
        <v>349</v>
      </c>
      <c r="C41" s="11" t="n">
        <v>50</v>
      </c>
      <c r="D41" s="16" t="n">
        <f aca="false">IFERROR(IF(NOT(ISNUMBER(C41)),"",IF(C41&lt;=INDEX(Ref!$B$35:$E$37,MATCH(B41,Ref!$A$35:$A$37,0),1),100,IF(C41&lt;=INDEX(Ref!$B$35:$E$37,MATCH(B41,Ref!$A$35:$A$37,0),2),100-(C41-INDEX(Ref!$B$35:$E$37,MATCH(B41,Ref!$A$35:$A$37,0),1))/(INDEX(Ref!$B$35:$E$37,MATCH(B41,Ref!$A$35:$A$37,0),2)-INDEX(Ref!$B$35:$E$37,MATCH(B41,Ref!$A$35:$A$37,0),1))*25,IF(C41&lt;=INDEX(Ref!$B$35:$E$37,MATCH(B41,Ref!$A$35:$A$37,0),3),75-(C41-INDEX(Ref!$B$35:$E$37,MATCH(B41,Ref!$A$35:$A$37,0),2))/(INDEX(Ref!$B$35:$E$37,MATCH(B41,Ref!$A$35:$A$37,0),3)-INDEX(Ref!$B$35:$E$37,MATCH(B41,Ref!$A$35:$A$37,0),2))*25,IF(C41&lt;=INDEX(Ref!$B$35:$E$37,MATCH(B41,Ref!$A$35:$A$37,0),4),50-(C41-INDEX(Ref!$B$35:$E$37,MATCH(B41,Ref!$A$35:$A$37,0),3))/(INDEX(Ref!$B$35:$E$37,MATCH(B41,Ref!$A$35:$A$37,0),4)-INDEX(Ref!$B$35:$E$37,MATCH(B41,Ref!$A$35:$A$37,0),3))*25,MAX(0,25-(C41-INDEX(Ref!$B$35:$E$37,MATCH(B41,Ref!$A$35:$A$37,0),4))/INDEX(Ref!$B$35:$E$37,MATCH(B41,Ref!$A$35:$A$37,0),4)*25)))))),"")</f>
        <v>83.3333333333333</v>
      </c>
      <c r="E41" s="13"/>
      <c r="F41" s="13"/>
      <c r="G41" s="25"/>
    </row>
    <row r="42" customFormat="false" ht="15" hidden="false" customHeight="true" outlineLevel="0" collapsed="false">
      <c r="A42" s="13" t="s">
        <v>351</v>
      </c>
      <c r="B42" s="5" t="s">
        <v>349</v>
      </c>
      <c r="C42" s="11" t="n">
        <v>60</v>
      </c>
      <c r="D42" s="16" t="n">
        <f aca="false">IFERROR(IF(NOT(ISNUMBER(C42)),"",IF(C42&lt;=INDEX(Ref!$B$35:$E$37,MATCH(B42,Ref!$A$35:$A$37,0),1),100,IF(C42&lt;=INDEX(Ref!$B$35:$E$37,MATCH(B42,Ref!$A$35:$A$37,0),2),100-(C42-INDEX(Ref!$B$35:$E$37,MATCH(B42,Ref!$A$35:$A$37,0),1))/(INDEX(Ref!$B$35:$E$37,MATCH(B42,Ref!$A$35:$A$37,0),2)-INDEX(Ref!$B$35:$E$37,MATCH(B42,Ref!$A$35:$A$37,0),1))*25,IF(C42&lt;=INDEX(Ref!$B$35:$E$37,MATCH(B42,Ref!$A$35:$A$37,0),3),75-(C42-INDEX(Ref!$B$35:$E$37,MATCH(B42,Ref!$A$35:$A$37,0),2))/(INDEX(Ref!$B$35:$E$37,MATCH(B42,Ref!$A$35:$A$37,0),3)-INDEX(Ref!$B$35:$E$37,MATCH(B42,Ref!$A$35:$A$37,0),2))*25,IF(C42&lt;=INDEX(Ref!$B$35:$E$37,MATCH(B42,Ref!$A$35:$A$37,0),4),50-(C42-INDEX(Ref!$B$35:$E$37,MATCH(B42,Ref!$A$35:$A$37,0),3))/(INDEX(Ref!$B$35:$E$37,MATCH(B42,Ref!$A$35:$A$37,0),4)-INDEX(Ref!$B$35:$E$37,MATCH(B42,Ref!$A$35:$A$37,0),3))*25,MAX(0,25-(C42-INDEX(Ref!$B$35:$E$37,MATCH(B42,Ref!$A$35:$A$37,0),4))/INDEX(Ref!$B$35:$E$37,MATCH(B42,Ref!$A$35:$A$37,0),4)*25)))))),"")</f>
        <v>75</v>
      </c>
      <c r="E42" s="13"/>
      <c r="F42" s="13"/>
      <c r="G42" s="25"/>
    </row>
    <row r="43" customFormat="false" ht="15" hidden="false" customHeight="true" outlineLevel="0" collapsed="false">
      <c r="A43" s="13" t="s">
        <v>352</v>
      </c>
      <c r="B43" s="5" t="s">
        <v>349</v>
      </c>
      <c r="C43" s="11" t="n">
        <v>80</v>
      </c>
      <c r="D43" s="16" t="n">
        <f aca="false">IFERROR(IF(NOT(ISNUMBER(C43)),"",IF(C43&lt;=INDEX(Ref!$B$35:$E$37,MATCH(B43,Ref!$A$35:$A$37,0),1),100,IF(C43&lt;=INDEX(Ref!$B$35:$E$37,MATCH(B43,Ref!$A$35:$A$37,0),2),100-(C43-INDEX(Ref!$B$35:$E$37,MATCH(B43,Ref!$A$35:$A$37,0),1))/(INDEX(Ref!$B$35:$E$37,MATCH(B43,Ref!$A$35:$A$37,0),2)-INDEX(Ref!$B$35:$E$37,MATCH(B43,Ref!$A$35:$A$37,0),1))*25,IF(C43&lt;=INDEX(Ref!$B$35:$E$37,MATCH(B43,Ref!$A$35:$A$37,0),3),75-(C43-INDEX(Ref!$B$35:$E$37,MATCH(B43,Ref!$A$35:$A$37,0),2))/(INDEX(Ref!$B$35:$E$37,MATCH(B43,Ref!$A$35:$A$37,0),3)-INDEX(Ref!$B$35:$E$37,MATCH(B43,Ref!$A$35:$A$37,0),2))*25,IF(C43&lt;=INDEX(Ref!$B$35:$E$37,MATCH(B43,Ref!$A$35:$A$37,0),4),50-(C43-INDEX(Ref!$B$35:$E$37,MATCH(B43,Ref!$A$35:$A$37,0),3))/(INDEX(Ref!$B$35:$E$37,MATCH(B43,Ref!$A$35:$A$37,0),4)-INDEX(Ref!$B$35:$E$37,MATCH(B43,Ref!$A$35:$A$37,0),3))*25,MAX(0,25-(C43-INDEX(Ref!$B$35:$E$37,MATCH(B43,Ref!$A$35:$A$37,0),4))/INDEX(Ref!$B$35:$E$37,MATCH(B43,Ref!$A$35:$A$37,0),4)*25)))))),"")</f>
        <v>62.5</v>
      </c>
      <c r="E43" s="13"/>
      <c r="F43" s="13"/>
      <c r="G43" s="25"/>
    </row>
    <row r="44" customFormat="false" ht="15" hidden="false" customHeight="true" outlineLevel="0" collapsed="false">
      <c r="A44" s="13" t="s">
        <v>353</v>
      </c>
      <c r="B44" s="5" t="s">
        <v>349</v>
      </c>
      <c r="C44" s="11" t="n">
        <v>100</v>
      </c>
      <c r="D44" s="16" t="n">
        <f aca="false">IFERROR(IF(NOT(ISNUMBER(C44)),"",IF(C44&lt;=INDEX(Ref!$B$35:$E$37,MATCH(B44,Ref!$A$35:$A$37,0),1),100,IF(C44&lt;=INDEX(Ref!$B$35:$E$37,MATCH(B44,Ref!$A$35:$A$37,0),2),100-(C44-INDEX(Ref!$B$35:$E$37,MATCH(B44,Ref!$A$35:$A$37,0),1))/(INDEX(Ref!$B$35:$E$37,MATCH(B44,Ref!$A$35:$A$37,0),2)-INDEX(Ref!$B$35:$E$37,MATCH(B44,Ref!$A$35:$A$37,0),1))*25,IF(C44&lt;=INDEX(Ref!$B$35:$E$37,MATCH(B44,Ref!$A$35:$A$37,0),3),75-(C44-INDEX(Ref!$B$35:$E$37,MATCH(B44,Ref!$A$35:$A$37,0),2))/(INDEX(Ref!$B$35:$E$37,MATCH(B44,Ref!$A$35:$A$37,0),3)-INDEX(Ref!$B$35:$E$37,MATCH(B44,Ref!$A$35:$A$37,0),2))*25,IF(C44&lt;=INDEX(Ref!$B$35:$E$37,MATCH(B44,Ref!$A$35:$A$37,0),4),50-(C44-INDEX(Ref!$B$35:$E$37,MATCH(B44,Ref!$A$35:$A$37,0),3))/(INDEX(Ref!$B$35:$E$37,MATCH(B44,Ref!$A$35:$A$37,0),4)-INDEX(Ref!$B$35:$E$37,MATCH(B44,Ref!$A$35:$A$37,0),3))*25,MAX(0,25-(C44-INDEX(Ref!$B$35:$E$37,MATCH(B44,Ref!$A$35:$A$37,0),4))/INDEX(Ref!$B$35:$E$37,MATCH(B44,Ref!$A$35:$A$37,0),4)*25)))))),"")</f>
        <v>50</v>
      </c>
      <c r="E44" s="13"/>
      <c r="F44" s="13"/>
      <c r="G44" s="25"/>
    </row>
    <row r="45" customFormat="false" ht="15" hidden="false" customHeight="true" outlineLevel="0" collapsed="false">
      <c r="A45" s="13" t="s">
        <v>354</v>
      </c>
      <c r="B45" s="5" t="s">
        <v>349</v>
      </c>
      <c r="C45" s="11" t="n">
        <v>130</v>
      </c>
      <c r="D45" s="16" t="n">
        <f aca="false">IFERROR(IF(NOT(ISNUMBER(C45)),"",IF(C45&lt;=INDEX(Ref!$B$35:$E$37,MATCH(B45,Ref!$A$35:$A$37,0),1),100,IF(C45&lt;=INDEX(Ref!$B$35:$E$37,MATCH(B45,Ref!$A$35:$A$37,0),2),100-(C45-INDEX(Ref!$B$35:$E$37,MATCH(B45,Ref!$A$35:$A$37,0),1))/(INDEX(Ref!$B$35:$E$37,MATCH(B45,Ref!$A$35:$A$37,0),2)-INDEX(Ref!$B$35:$E$37,MATCH(B45,Ref!$A$35:$A$37,0),1))*25,IF(C45&lt;=INDEX(Ref!$B$35:$E$37,MATCH(B45,Ref!$A$35:$A$37,0),3),75-(C45-INDEX(Ref!$B$35:$E$37,MATCH(B45,Ref!$A$35:$A$37,0),2))/(INDEX(Ref!$B$35:$E$37,MATCH(B45,Ref!$A$35:$A$37,0),3)-INDEX(Ref!$B$35:$E$37,MATCH(B45,Ref!$A$35:$A$37,0),2))*25,IF(C45&lt;=INDEX(Ref!$B$35:$E$37,MATCH(B45,Ref!$A$35:$A$37,0),4),50-(C45-INDEX(Ref!$B$35:$E$37,MATCH(B45,Ref!$A$35:$A$37,0),3))/(INDEX(Ref!$B$35:$E$37,MATCH(B45,Ref!$A$35:$A$37,0),4)-INDEX(Ref!$B$35:$E$37,MATCH(B45,Ref!$A$35:$A$37,0),3))*25,MAX(0,25-(C45-INDEX(Ref!$B$35:$E$37,MATCH(B45,Ref!$A$35:$A$37,0),4))/INDEX(Ref!$B$35:$E$37,MATCH(B45,Ref!$A$35:$A$37,0),4)*25)))))),"")</f>
        <v>35</v>
      </c>
      <c r="E45" s="13"/>
      <c r="F45" s="13"/>
      <c r="G45" s="25"/>
    </row>
    <row r="46" customFormat="false" ht="15" hidden="false" customHeight="true" outlineLevel="0" collapsed="false">
      <c r="A46" s="13" t="s">
        <v>355</v>
      </c>
      <c r="B46" s="5" t="s">
        <v>349</v>
      </c>
      <c r="C46" s="11" t="n">
        <v>160</v>
      </c>
      <c r="D46" s="16" t="n">
        <f aca="false">IFERROR(IF(NOT(ISNUMBER(C46)),"",IF(C46&lt;=INDEX(Ref!$B$35:$E$37,MATCH(B46,Ref!$A$35:$A$37,0),1),100,IF(C46&lt;=INDEX(Ref!$B$35:$E$37,MATCH(B46,Ref!$A$35:$A$37,0),2),100-(C46-INDEX(Ref!$B$35:$E$37,MATCH(B46,Ref!$A$35:$A$37,0),1))/(INDEX(Ref!$B$35:$E$37,MATCH(B46,Ref!$A$35:$A$37,0),2)-INDEX(Ref!$B$35:$E$37,MATCH(B46,Ref!$A$35:$A$37,0),1))*25,IF(C46&lt;=INDEX(Ref!$B$35:$E$37,MATCH(B46,Ref!$A$35:$A$37,0),3),75-(C46-INDEX(Ref!$B$35:$E$37,MATCH(B46,Ref!$A$35:$A$37,0),2))/(INDEX(Ref!$B$35:$E$37,MATCH(B46,Ref!$A$35:$A$37,0),3)-INDEX(Ref!$B$35:$E$37,MATCH(B46,Ref!$A$35:$A$37,0),2))*25,IF(C46&lt;=INDEX(Ref!$B$35:$E$37,MATCH(B46,Ref!$A$35:$A$37,0),4),50-(C46-INDEX(Ref!$B$35:$E$37,MATCH(B46,Ref!$A$35:$A$37,0),3))/(INDEX(Ref!$B$35:$E$37,MATCH(B46,Ref!$A$35:$A$37,0),4)-INDEX(Ref!$B$35:$E$37,MATCH(B46,Ref!$A$35:$A$37,0),3))*25,MAX(0,25-(C46-INDEX(Ref!$B$35:$E$37,MATCH(B46,Ref!$A$35:$A$37,0),4))/INDEX(Ref!$B$35:$E$37,MATCH(B46,Ref!$A$35:$A$37,0),4)*25)))))),"")</f>
        <v>23.3333333333333</v>
      </c>
      <c r="E46" s="13"/>
      <c r="F46" s="13"/>
      <c r="G46" s="25"/>
    </row>
    <row r="47" customFormat="false" ht="15" hidden="false" customHeight="true" outlineLevel="0" collapsed="false">
      <c r="A47" s="13" t="s">
        <v>356</v>
      </c>
      <c r="B47" s="5" t="s">
        <v>349</v>
      </c>
      <c r="C47" s="11" t="n">
        <v>200</v>
      </c>
      <c r="D47" s="16" t="n">
        <f aca="false">IFERROR(IF(NOT(ISNUMBER(C47)),"",IF(C47&lt;=INDEX(Ref!$B$35:$E$37,MATCH(B47,Ref!$A$35:$A$37,0),1),100,IF(C47&lt;=INDEX(Ref!$B$35:$E$37,MATCH(B47,Ref!$A$35:$A$37,0),2),100-(C47-INDEX(Ref!$B$35:$E$37,MATCH(B47,Ref!$A$35:$A$37,0),1))/(INDEX(Ref!$B$35:$E$37,MATCH(B47,Ref!$A$35:$A$37,0),2)-INDEX(Ref!$B$35:$E$37,MATCH(B47,Ref!$A$35:$A$37,0),1))*25,IF(C47&lt;=INDEX(Ref!$B$35:$E$37,MATCH(B47,Ref!$A$35:$A$37,0),3),75-(C47-INDEX(Ref!$B$35:$E$37,MATCH(B47,Ref!$A$35:$A$37,0),2))/(INDEX(Ref!$B$35:$E$37,MATCH(B47,Ref!$A$35:$A$37,0),3)-INDEX(Ref!$B$35:$E$37,MATCH(B47,Ref!$A$35:$A$37,0),2))*25,IF(C47&lt;=INDEX(Ref!$B$35:$E$37,MATCH(B47,Ref!$A$35:$A$37,0),4),50-(C47-INDEX(Ref!$B$35:$E$37,MATCH(B47,Ref!$A$35:$A$37,0),3))/(INDEX(Ref!$B$35:$E$37,MATCH(B47,Ref!$A$35:$A$37,0),4)-INDEX(Ref!$B$35:$E$37,MATCH(B47,Ref!$A$35:$A$37,0),3))*25,MAX(0,25-(C47-INDEX(Ref!$B$35:$E$37,MATCH(B47,Ref!$A$35:$A$37,0),4))/INDEX(Ref!$B$35:$E$37,MATCH(B47,Ref!$A$35:$A$37,0),4)*25)))))),"")</f>
        <v>16.6666666666667</v>
      </c>
      <c r="E47" s="13"/>
      <c r="F47" s="13"/>
      <c r="G47" s="25"/>
    </row>
    <row r="49" customFormat="false" ht="23.25" hidden="false" customHeight="true" outlineLevel="0" collapsed="false">
      <c r="A49" s="7" t="s">
        <v>357</v>
      </c>
      <c r="B49" s="16" t="n">
        <f aca="false">IFERROR(AVERAGEIF(B5:B47,"Operational",D5:D47),"")</f>
        <v>62.7232142857143</v>
      </c>
      <c r="C49" s="10" t="s">
        <v>358</v>
      </c>
      <c r="D49" s="17" t="n">
        <f aca="false">COUNTIF(B5:B47,"Operational")</f>
        <v>20</v>
      </c>
      <c r="E49" s="6" t="str">
        <f aca="false">IF(D49&lt;10,"BELOW MIN (10)","")</f>
        <v/>
      </c>
    </row>
    <row r="50" customFormat="false" ht="15" hidden="false" customHeight="true" outlineLevel="0" collapsed="false">
      <c r="A50" s="7" t="s">
        <v>359</v>
      </c>
      <c r="B50" s="16" t="n">
        <f aca="false">IFERROR(AVERAGEIF(B5:B47,"Tactical",D5:D47),"")</f>
        <v>62.6373626373626</v>
      </c>
      <c r="C50" s="10" t="s">
        <v>358</v>
      </c>
      <c r="D50" s="17" t="n">
        <f aca="false">COUNTIF(B5:B47,"Tactical")</f>
        <v>15</v>
      </c>
      <c r="E50" s="6" t="str">
        <f aca="false">IF(D50&lt;5,"BELOW MIN (5)","")</f>
        <v/>
      </c>
    </row>
    <row r="51" customFormat="false" ht="15" hidden="false" customHeight="true" outlineLevel="0" collapsed="false">
      <c r="A51" s="7" t="s">
        <v>360</v>
      </c>
      <c r="B51" s="16" t="n">
        <f aca="false">IFERROR(AVERAGEIF(B5:B47,"Strategic",D5:D47),"")</f>
        <v>55.2083333333333</v>
      </c>
      <c r="C51" s="10" t="s">
        <v>358</v>
      </c>
      <c r="D51" s="17" t="n">
        <f aca="false">COUNTIF(B5:B47,"Strategic")</f>
        <v>8</v>
      </c>
      <c r="E51" s="6" t="str">
        <f aca="false">IF(D51&lt;3,"BELOW MIN (3)","")</f>
        <v/>
      </c>
    </row>
    <row r="52" customFormat="false" ht="15" hidden="false" customHeight="true" outlineLevel="0" collapsed="false">
      <c r="A52" s="4" t="s">
        <v>361</v>
      </c>
      <c r="B52" s="19" t="n">
        <f aca="false">IFERROR(Ref!$B$9*B49+Ref!$B$10*B50+Ref!$B$11*B51,"")</f>
        <v>60.814445970696</v>
      </c>
    </row>
  </sheetData>
  <sheetProtection sheet="true" formatCells="false"/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B5:B47" type="list">
      <formula1>"Operational,Tactical,Strategic"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0"/>
    <col collapsed="false" customWidth="true" hidden="false" outlineLevel="0" max="4" min="4" style="1" width="10"/>
  </cols>
  <sheetData>
    <row r="1" customFormat="false" ht="19.5" hidden="false" customHeight="true" outlineLevel="0" collapsed="false">
      <c r="A1" s="2" t="s">
        <v>362</v>
      </c>
      <c r="B1" s="2"/>
      <c r="C1" s="2"/>
      <c r="D1" s="2"/>
    </row>
    <row r="2" customFormat="false" ht="39" hidden="false" customHeight="true" outlineLevel="0" collapsed="false">
      <c r="A2" s="3" t="s">
        <v>363</v>
      </c>
      <c r="B2" s="3"/>
      <c r="C2" s="3"/>
      <c r="D2" s="3"/>
    </row>
    <row r="4" customFormat="false" ht="23.25" hidden="false" customHeight="true" outlineLevel="0" collapsed="false">
      <c r="A4" s="9" t="s">
        <v>364</v>
      </c>
      <c r="B4" s="9" t="s">
        <v>365</v>
      </c>
      <c r="C4" s="9" t="s">
        <v>366</v>
      </c>
      <c r="D4" s="9"/>
    </row>
    <row r="5" customFormat="false" ht="15" hidden="false" customHeight="true" outlineLevel="0" collapsed="false">
      <c r="A5" s="10" t="s">
        <v>367</v>
      </c>
      <c r="B5" s="13" t="s">
        <v>368</v>
      </c>
      <c r="C5" s="11" t="n">
        <v>68</v>
      </c>
    </row>
    <row r="6" customFormat="false" ht="15" hidden="false" customHeight="true" outlineLevel="0" collapsed="false">
      <c r="A6" s="10" t="s">
        <v>369</v>
      </c>
      <c r="B6" s="13" t="s">
        <v>370</v>
      </c>
      <c r="C6" s="11" t="n">
        <v>60</v>
      </c>
    </row>
    <row r="7" customFormat="false" ht="15" hidden="false" customHeight="true" outlineLevel="0" collapsed="false">
      <c r="A7" s="10" t="s">
        <v>371</v>
      </c>
      <c r="B7" s="13" t="s">
        <v>372</v>
      </c>
      <c r="C7" s="11" t="n">
        <v>68</v>
      </c>
    </row>
    <row r="8" customFormat="false" ht="15" hidden="false" customHeight="true" outlineLevel="0" collapsed="false">
      <c r="A8" s="10" t="s">
        <v>373</v>
      </c>
      <c r="B8" s="13" t="s">
        <v>374</v>
      </c>
      <c r="C8" s="11" t="n">
        <v>68</v>
      </c>
    </row>
    <row r="9" customFormat="false" ht="15" hidden="false" customHeight="true" outlineLevel="0" collapsed="false">
      <c r="A9" s="7" t="s">
        <v>285</v>
      </c>
      <c r="B9" s="7"/>
      <c r="C9" s="19" t="n">
        <f aca="false">IF(COUNT(C5:C8)=0,"",AVERAGE(C5:C8))</f>
        <v>66</v>
      </c>
    </row>
    <row r="10" customFormat="false" ht="15" hidden="false" customHeight="true" outlineLevel="0" collapsed="false">
      <c r="A10" s="10" t="s">
        <v>375</v>
      </c>
      <c r="B10" s="10"/>
      <c r="C10" s="16" t="n">
        <f aca="false">IFERROR('Motivation Inputs'!$D$19-C9,"")</f>
        <v>6</v>
      </c>
    </row>
    <row r="11" customFormat="false" ht="15" hidden="false" customHeight="true" outlineLevel="0" collapsed="false">
      <c r="A11" s="10" t="s">
        <v>376</v>
      </c>
      <c r="B11" s="10"/>
      <c r="C11" s="6" t="str">
        <f aca="false">IF(AND(ISNUMBER(C10),ABS(C10)&gt;15),"GAP - key finding","")</f>
        <v/>
      </c>
    </row>
  </sheetData>
  <sheetProtection sheet="true" formatCells="false"/>
  <mergeCells count="5">
    <mergeCell ref="A1:D1"/>
    <mergeCell ref="A2:D2"/>
    <mergeCell ref="A9:B9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48"/>
  </cols>
  <sheetData>
    <row r="1" customFormat="false" ht="19.5" hidden="false" customHeight="true" outlineLevel="0" collapsed="false">
      <c r="A1" s="2" t="s">
        <v>377</v>
      </c>
      <c r="B1" s="2"/>
      <c r="C1" s="2"/>
    </row>
    <row r="2" customFormat="false" ht="26.25" hidden="false" customHeight="true" outlineLevel="0" collapsed="false">
      <c r="A2" s="3" t="s">
        <v>378</v>
      </c>
      <c r="B2" s="3"/>
      <c r="C2" s="3"/>
    </row>
    <row r="4" customFormat="false" ht="15" hidden="false" customHeight="true" outlineLevel="0" collapsed="false">
      <c r="A4" s="10" t="s">
        <v>379</v>
      </c>
      <c r="B4" s="10"/>
      <c r="C4" s="6" t="str">
        <f aca="false">'Engagement Metadata'!$D$11</f>
        <v>Northwind Mutual</v>
      </c>
    </row>
    <row r="5" customFormat="false" ht="15" hidden="false" customHeight="true" outlineLevel="0" collapsed="false">
      <c r="A5" s="10" t="s">
        <v>380</v>
      </c>
      <c r="B5" s="10"/>
      <c r="C5" s="6" t="str">
        <f aca="false">'Engagement Metadata'!$D$12</f>
        <v>Member Services</v>
      </c>
    </row>
    <row r="6" customFormat="false" ht="15" hidden="false" customHeight="true" outlineLevel="0" collapsed="false">
      <c r="A6" s="10" t="s">
        <v>14</v>
      </c>
      <c r="B6" s="10"/>
      <c r="C6" s="17" t="n">
        <f aca="false">'Engagement Metadata'!$D$13</f>
        <v>60</v>
      </c>
    </row>
    <row r="7" customFormat="false" ht="15" hidden="false" customHeight="true" outlineLevel="0" collapsed="false">
      <c r="A7" s="10" t="s">
        <v>381</v>
      </c>
      <c r="B7" s="10"/>
      <c r="C7" s="6" t="str">
        <f aca="false">'Engagement Metadata'!$D$14</f>
        <v>K - Financial and Insurance Services</v>
      </c>
    </row>
    <row r="8" customFormat="false" ht="15" hidden="false" customHeight="true" outlineLevel="0" collapsed="false">
      <c r="A8" s="10" t="s">
        <v>17</v>
      </c>
      <c r="B8" s="10"/>
      <c r="C8" s="6" t="str">
        <f aca="false">'Engagement Metadata'!$D$15</f>
        <v>Health insurance</v>
      </c>
    </row>
    <row r="9" customFormat="false" ht="15" hidden="false" customHeight="true" outlineLevel="0" collapsed="false">
      <c r="A9" s="10" t="s">
        <v>19</v>
      </c>
      <c r="B9" s="10"/>
      <c r="C9" s="6" t="str">
        <f aca="false">'Engagement Metadata'!$D$16</f>
        <v>200–1,000 FTE</v>
      </c>
    </row>
    <row r="10" customFormat="false" ht="15" hidden="false" customHeight="true" outlineLevel="0" collapsed="false">
      <c r="A10" s="10" t="s">
        <v>21</v>
      </c>
      <c r="B10" s="10"/>
      <c r="C10" s="6" t="str">
        <f aca="false">'Engagement Metadata'!$D$17</f>
        <v>Customer-facing service</v>
      </c>
    </row>
    <row r="11" customFormat="false" ht="15" hidden="false" customHeight="true" outlineLevel="0" collapsed="false">
      <c r="A11" s="10" t="s">
        <v>25</v>
      </c>
      <c r="B11" s="10"/>
      <c r="C11" s="26" t="n">
        <f aca="false">'Engagement Metadata'!$D$19</f>
        <v>46174</v>
      </c>
    </row>
    <row r="13" customFormat="false" ht="12" hidden="false" customHeight="true" outlineLevel="0" collapsed="false">
      <c r="A13" s="14" t="s">
        <v>382</v>
      </c>
      <c r="B13" s="14"/>
      <c r="C13" s="14"/>
    </row>
    <row r="14" customFormat="false" ht="15" hidden="false" customHeight="true" outlineLevel="0" collapsed="false">
      <c r="A14" s="10" t="s">
        <v>383</v>
      </c>
      <c r="B14" s="10"/>
      <c r="C14" s="27" t="s">
        <v>384</v>
      </c>
    </row>
  </sheetData>
  <sheetProtection sheet="true" formatCells="false"/>
  <mergeCells count="12">
    <mergeCell ref="A1:C1"/>
    <mergeCell ref="A2:C2"/>
    <mergeCell ref="A4:B4"/>
    <mergeCell ref="A5:B5"/>
    <mergeCell ref="A6:B6"/>
    <mergeCell ref="A7:B7"/>
    <mergeCell ref="A8:B8"/>
    <mergeCell ref="A9:B9"/>
    <mergeCell ref="A10:B10"/>
    <mergeCell ref="A11:B11"/>
    <mergeCell ref="A13:C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true" outlineLevel="0" max="19" min="8" style="1" width="13"/>
  </cols>
  <sheetData>
    <row r="1" customFormat="false" ht="19.5" hidden="false" customHeight="true" outlineLevel="0" collapsed="false">
      <c r="A1" s="2" t="s">
        <v>385</v>
      </c>
      <c r="B1" s="2"/>
      <c r="C1" s="2"/>
      <c r="D1" s="2"/>
      <c r="E1" s="2"/>
      <c r="F1" s="2"/>
    </row>
    <row r="2" customFormat="false" ht="39" hidden="false" customHeight="true" outlineLevel="0" collapsed="false">
      <c r="A2" s="3" t="s">
        <v>386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9" t="s">
        <v>387</v>
      </c>
      <c r="B4" s="9" t="s">
        <v>201</v>
      </c>
      <c r="C4" s="9" t="s">
        <v>388</v>
      </c>
      <c r="D4" s="9" t="s">
        <v>389</v>
      </c>
      <c r="E4" s="9" t="s">
        <v>390</v>
      </c>
      <c r="F4" s="9" t="s">
        <v>391</v>
      </c>
    </row>
    <row r="5" customFormat="false" ht="15" hidden="false" customHeight="true" outlineLevel="0" collapsed="false">
      <c r="A5" s="14" t="s">
        <v>392</v>
      </c>
      <c r="B5" s="14"/>
      <c r="C5" s="14"/>
      <c r="D5" s="14"/>
      <c r="E5" s="14"/>
      <c r="F5" s="14"/>
      <c r="H5" s="27" t="s">
        <v>392</v>
      </c>
      <c r="I5" s="6" t="s">
        <v>393</v>
      </c>
      <c r="J5" s="27" t="s">
        <v>38</v>
      </c>
      <c r="K5" s="16" t="n">
        <f aca="false">B6</f>
        <v>76.1111111111111</v>
      </c>
      <c r="L5" s="18" t="n">
        <f aca="false">IF(SUM(F6:F10)=0,0,C6*D6/SUM(F6:F10))</f>
        <v>0.35</v>
      </c>
      <c r="M5" s="16" t="n">
        <f aca="false">B27</f>
        <v>72.9730317460318</v>
      </c>
      <c r="N5" s="18" t="n">
        <f aca="false">Ref!$B$4</f>
        <v>0.35</v>
      </c>
      <c r="O5" s="16" t="n">
        <f aca="false">IF(ISNUMBER(K5),Ref!$E$5*MAX(0,Ref!$E$4-K5),"")</f>
        <v>2.66666666666667</v>
      </c>
      <c r="P5" s="18" t="n">
        <f aca="false">IF(ISNUMBER(K5),B32*((1+L5*O5/M5)^N5-1),"")</f>
        <v>0.322379936001943</v>
      </c>
      <c r="Q5" s="15" t="n">
        <f aca="false">IF(ISNUMBER(K5),1/(1+EXP((K5-AVERAGE($K$5:$K$18))/Ref!$E$6)),"")</f>
        <v>0.24410008424858</v>
      </c>
      <c r="R5" s="15" t="n">
        <f aca="false">IF(ISNUMBER(K5),P5*Q5,"")</f>
        <v>0.0786929695381262</v>
      </c>
      <c r="S5" s="6" t="n">
        <f aca="false">IF(ISNUMBER(R5),R5-ROW()/1000000,"")</f>
        <v>0.0786879695381262</v>
      </c>
    </row>
    <row r="6" customFormat="false" ht="23.25" hidden="false" customHeight="true" outlineLevel="0" collapsed="false">
      <c r="A6" s="10" t="s">
        <v>393</v>
      </c>
      <c r="B6" s="16" t="n">
        <f aca="false">'Capability Inputs'!$D$15</f>
        <v>76.1111111111111</v>
      </c>
      <c r="C6" s="18" t="n">
        <f aca="false">INDEX(Ref!$C$15:$H$31,MATCH("C1",Ref!$A$15:$A$31,0),MATCH('Engagement Metadata'!$D$18,Ref!$C$14:$H$14,0))</f>
        <v>0.35</v>
      </c>
      <c r="D6" s="17" t="n">
        <f aca="false">IF(ISNUMBER(B6),1,0)</f>
        <v>1</v>
      </c>
      <c r="E6" s="16" t="n">
        <f aca="false">IF(ISNUMBER(B6),B6*C6,0)</f>
        <v>26.6388888888889</v>
      </c>
      <c r="F6" s="18" t="n">
        <f aca="false">C6*D6</f>
        <v>0.35</v>
      </c>
      <c r="H6" s="27" t="s">
        <v>392</v>
      </c>
      <c r="I6" s="6" t="s">
        <v>394</v>
      </c>
      <c r="J6" s="27" t="s">
        <v>42</v>
      </c>
      <c r="K6" s="16" t="n">
        <f aca="false">B7</f>
        <v>73.7942857142857</v>
      </c>
      <c r="L6" s="18" t="n">
        <f aca="false">IF(SUM(F6:F10)=0,0,C7*D7/SUM(F6:F10))</f>
        <v>0.15</v>
      </c>
      <c r="M6" s="16" t="n">
        <f aca="false">B27</f>
        <v>72.9730317460318</v>
      </c>
      <c r="N6" s="18" t="n">
        <f aca="false">Ref!$B$4</f>
        <v>0.35</v>
      </c>
      <c r="O6" s="16" t="n">
        <f aca="false">IF(ISNUMBER(K6),Ref!$E$5*MAX(0,Ref!$E$4-K6),"")</f>
        <v>3.36171428571429</v>
      </c>
      <c r="P6" s="18" t="n">
        <f aca="false">IF(ISNUMBER(K6),B32*((1+L6*O6/M6)^N6-1),"")</f>
        <v>0.174504621207843</v>
      </c>
      <c r="Q6" s="15" t="n">
        <f aca="false">IF(ISNUMBER(K6),1/(1+EXP((K6-AVERAGE($K$5:$K$18))/Ref!$E$6)),"")</f>
        <v>0.301381589646565</v>
      </c>
      <c r="R6" s="15" t="n">
        <f aca="false">IF(ISNUMBER(K6),P6*Q6,"")</f>
        <v>0.0525924801402914</v>
      </c>
      <c r="S6" s="6" t="n">
        <f aca="false">IF(ISNUMBER(R6),R6-ROW()/1000000,"")</f>
        <v>0.0525864801402914</v>
      </c>
    </row>
    <row r="7" customFormat="false" ht="23.25" hidden="false" customHeight="true" outlineLevel="0" collapsed="false">
      <c r="A7" s="10" t="s">
        <v>394</v>
      </c>
      <c r="B7" s="16" t="n">
        <f aca="false">'Capability Inputs'!$D$24</f>
        <v>73.7942857142857</v>
      </c>
      <c r="C7" s="18" t="n">
        <f aca="false">INDEX(Ref!$C$15:$H$31,MATCH("C2",Ref!$A$15:$A$31,0),MATCH('Engagement Metadata'!$D$18,Ref!$C$14:$H$14,0))</f>
        <v>0.15</v>
      </c>
      <c r="D7" s="17" t="n">
        <f aca="false">IF(ISNUMBER(B7),1,0)</f>
        <v>1</v>
      </c>
      <c r="E7" s="16" t="n">
        <f aca="false">IF(ISNUMBER(B7),B7*C7,0)</f>
        <v>11.0691428571429</v>
      </c>
      <c r="F7" s="18" t="n">
        <f aca="false">C7*D7</f>
        <v>0.15</v>
      </c>
      <c r="H7" s="27" t="s">
        <v>392</v>
      </c>
      <c r="I7" s="6" t="s">
        <v>395</v>
      </c>
      <c r="J7" s="27" t="s">
        <v>44</v>
      </c>
      <c r="K7" s="16" t="n">
        <f aca="false">B8</f>
        <v>66.5</v>
      </c>
      <c r="L7" s="18" t="n">
        <f aca="false">IF(SUM(F6:F10)=0,0,C8*D8/SUM(F6:F10))</f>
        <v>0.2</v>
      </c>
      <c r="M7" s="16" t="n">
        <f aca="false">B27</f>
        <v>72.9730317460318</v>
      </c>
      <c r="N7" s="18" t="n">
        <f aca="false">Ref!$B$4</f>
        <v>0.35</v>
      </c>
      <c r="O7" s="16" t="n">
        <f aca="false">IF(ISNUMBER(K7),Ref!$E$5*MAX(0,Ref!$E$4-K7),"")</f>
        <v>5.55</v>
      </c>
      <c r="P7" s="18" t="n">
        <f aca="false">IF(ISNUMBER(K7),B32*((1+L7*O7/M7)^N7-1),"")</f>
        <v>0.38310353465438</v>
      </c>
      <c r="Q7" s="15" t="n">
        <f aca="false">IF(ISNUMBER(K7),1/(1+EXP((K7-AVERAGE($K$5:$K$18))/Ref!$E$6)),"")</f>
        <v>0.517757086577807</v>
      </c>
      <c r="R7" s="15" t="n">
        <f aca="false">IF(ISNUMBER(K7),P7*Q7,"")</f>
        <v>0.198354569960312</v>
      </c>
      <c r="S7" s="6" t="n">
        <f aca="false">IF(ISNUMBER(R7),R7-ROW()/1000000,"")</f>
        <v>0.198347569960312</v>
      </c>
    </row>
    <row r="8" customFormat="false" ht="23.25" hidden="false" customHeight="true" outlineLevel="0" collapsed="false">
      <c r="A8" s="10" t="s">
        <v>395</v>
      </c>
      <c r="B8" s="16" t="n">
        <f aca="false">'Capability Inputs'!$D$33</f>
        <v>66.5</v>
      </c>
      <c r="C8" s="18" t="n">
        <f aca="false">INDEX(Ref!$C$15:$H$31,MATCH("C3",Ref!$A$15:$A$31,0),MATCH('Engagement Metadata'!$D$18,Ref!$C$14:$H$14,0))</f>
        <v>0.2</v>
      </c>
      <c r="D8" s="17" t="n">
        <f aca="false">IF(ISNUMBER(B8),1,0)</f>
        <v>1</v>
      </c>
      <c r="E8" s="16" t="n">
        <f aca="false">IF(ISNUMBER(B8),B8*C8,0)</f>
        <v>13.3</v>
      </c>
      <c r="F8" s="18" t="n">
        <f aca="false">C8*D8</f>
        <v>0.2</v>
      </c>
      <c r="H8" s="27" t="s">
        <v>392</v>
      </c>
      <c r="I8" s="6" t="s">
        <v>396</v>
      </c>
      <c r="J8" s="27" t="s">
        <v>47</v>
      </c>
      <c r="K8" s="16" t="n">
        <f aca="false">B9</f>
        <v>70.325</v>
      </c>
      <c r="L8" s="18" t="n">
        <f aca="false">IF(SUM(F6:F10)=0,0,C9*D9/SUM(F6:F10))</f>
        <v>0.2</v>
      </c>
      <c r="M8" s="16" t="n">
        <f aca="false">B27</f>
        <v>72.9730317460318</v>
      </c>
      <c r="N8" s="18" t="n">
        <f aca="false">Ref!$B$4</f>
        <v>0.35</v>
      </c>
      <c r="O8" s="16" t="n">
        <f aca="false">IF(ISNUMBER(K8),Ref!$E$5*MAX(0,Ref!$E$4-K8),"")</f>
        <v>4.4025</v>
      </c>
      <c r="P8" s="18" t="n">
        <f aca="false">IF(ISNUMBER(K8),B32*((1+L8*O8/M8)^N8-1),"")</f>
        <v>0.304201818304714</v>
      </c>
      <c r="Q8" s="15" t="n">
        <f aca="false">IF(ISNUMBER(K8),1/(1+EXP((K8-AVERAGE($K$5:$K$18))/Ref!$E$6)),"")</f>
        <v>0.39961566292604</v>
      </c>
      <c r="R8" s="15" t="n">
        <f aca="false">IF(ISNUMBER(K8),P8*Q8,"")</f>
        <v>0.121563811285145</v>
      </c>
      <c r="S8" s="6" t="n">
        <f aca="false">IF(ISNUMBER(R8),R8-ROW()/1000000,"")</f>
        <v>0.121555811285145</v>
      </c>
    </row>
    <row r="9" customFormat="false" ht="23.25" hidden="false" customHeight="true" outlineLevel="0" collapsed="false">
      <c r="A9" s="10" t="s">
        <v>396</v>
      </c>
      <c r="B9" s="16" t="n">
        <f aca="false">'Capability Inputs'!$D$56</f>
        <v>70.325</v>
      </c>
      <c r="C9" s="18" t="n">
        <f aca="false">INDEX(Ref!$C$15:$H$31,MATCH("C4",Ref!$A$15:$A$31,0),MATCH('Engagement Metadata'!$D$18,Ref!$C$14:$H$14,0))</f>
        <v>0.2</v>
      </c>
      <c r="D9" s="17" t="n">
        <f aca="false">IF(ISNUMBER(B9),1,0)</f>
        <v>1</v>
      </c>
      <c r="E9" s="16" t="n">
        <f aca="false">IF(ISNUMBER(B9),B9*C9,0)</f>
        <v>14.065</v>
      </c>
      <c r="F9" s="18" t="n">
        <f aca="false">C9*D9</f>
        <v>0.2</v>
      </c>
      <c r="H9" s="27" t="s">
        <v>392</v>
      </c>
      <c r="I9" s="6" t="s">
        <v>397</v>
      </c>
      <c r="J9" s="27" t="s">
        <v>51</v>
      </c>
      <c r="K9" s="16" t="n">
        <f aca="false">B10</f>
        <v>79</v>
      </c>
      <c r="L9" s="18" t="n">
        <f aca="false">IF(SUM(F6:F10)=0,0,C10*D10/SUM(F6:F10))</f>
        <v>0.1</v>
      </c>
      <c r="M9" s="16" t="n">
        <f aca="false">B27</f>
        <v>72.9730317460318</v>
      </c>
      <c r="N9" s="18" t="n">
        <f aca="false">Ref!$B$4</f>
        <v>0.35</v>
      </c>
      <c r="O9" s="16" t="n">
        <f aca="false">IF(ISNUMBER(K9),Ref!$E$5*MAX(0,Ref!$E$4-K9),"")</f>
        <v>1.8</v>
      </c>
      <c r="P9" s="18" t="n">
        <f aca="false">IF(ISNUMBER(K9),B32*((1+L9*O9/M9)^N9-1),"")</f>
        <v>0.06238099439244</v>
      </c>
      <c r="Q9" s="15" t="n">
        <f aca="false">IF(ISNUMBER(K9),1/(1+EXP((K9-AVERAGE($K$5:$K$18))/Ref!$E$6)),"")</f>
        <v>0.183705424332345</v>
      </c>
      <c r="R9" s="15" t="n">
        <f aca="false">IF(ISNUMBER(K9),P9*Q9,"")</f>
        <v>0.0114597270451368</v>
      </c>
      <c r="S9" s="6" t="n">
        <f aca="false">IF(ISNUMBER(R9),R9-ROW()/1000000,"")</f>
        <v>0.0114507270451368</v>
      </c>
    </row>
    <row r="10" customFormat="false" ht="34.5" hidden="false" customHeight="true" outlineLevel="0" collapsed="false">
      <c r="A10" s="10" t="s">
        <v>397</v>
      </c>
      <c r="B10" s="16" t="n">
        <f aca="false">'Capability Inputs'!$D$63</f>
        <v>79</v>
      </c>
      <c r="C10" s="18" t="n">
        <f aca="false">INDEX(Ref!$C$15:$H$31,MATCH("C5",Ref!$A$15:$A$31,0),MATCH('Engagement Metadata'!$D$18,Ref!$C$14:$H$14,0))</f>
        <v>0.1</v>
      </c>
      <c r="D10" s="17" t="n">
        <f aca="false">IF(ISNUMBER(B10),1,0)</f>
        <v>1</v>
      </c>
      <c r="E10" s="16" t="n">
        <f aca="false">IF(ISNUMBER(B10),B10*C10,0)</f>
        <v>7.9</v>
      </c>
      <c r="F10" s="18" t="n">
        <f aca="false">C10*D10</f>
        <v>0.1</v>
      </c>
      <c r="H10" s="27" t="s">
        <v>398</v>
      </c>
      <c r="I10" s="6" t="s">
        <v>399</v>
      </c>
      <c r="J10" s="27" t="s">
        <v>53</v>
      </c>
      <c r="K10" s="16" t="n">
        <f aca="false">B12</f>
        <v>72</v>
      </c>
      <c r="L10" s="18" t="n">
        <f aca="false">IF(SUM(F12:F15)=0,0,C12*D12/SUM(F12:F15))</f>
        <v>0.5</v>
      </c>
      <c r="M10" s="16" t="n">
        <f aca="false">B28</f>
        <v>70.05</v>
      </c>
      <c r="N10" s="18" t="n">
        <f aca="false">Ref!$B$5</f>
        <v>0.4</v>
      </c>
      <c r="O10" s="16" t="n">
        <f aca="false">IF(ISNUMBER(K10),Ref!$E$5*MAX(0,Ref!$E$4-K10),"")</f>
        <v>3.9</v>
      </c>
      <c r="P10" s="18" t="n">
        <f aca="false">IF(ISNUMBER(K10),B32*((1+L10*O10/M10)^N10-1),"")</f>
        <v>0.79858225849194</v>
      </c>
      <c r="Q10" s="15" t="n">
        <f aca="false">IF(ISNUMBER(K10),1/(1+EXP((K10-AVERAGE($K$5:$K$18))/Ref!$E$6)),"")</f>
        <v>0.350591147358275</v>
      </c>
      <c r="R10" s="15" t="n">
        <f aca="false">IF(ISNUMBER(K10),P10*Q10,"")</f>
        <v>0.279975870264652</v>
      </c>
      <c r="S10" s="6" t="n">
        <f aca="false">IF(ISNUMBER(R10),R10-ROW()/1000000,"")</f>
        <v>0.279965870264652</v>
      </c>
    </row>
    <row r="11" customFormat="false" ht="34.5" hidden="false" customHeight="true" outlineLevel="0" collapsed="false">
      <c r="A11" s="14" t="s">
        <v>398</v>
      </c>
      <c r="B11" s="14"/>
      <c r="C11" s="14"/>
      <c r="D11" s="14"/>
      <c r="E11" s="14"/>
      <c r="F11" s="14"/>
      <c r="H11" s="27" t="s">
        <v>398</v>
      </c>
      <c r="I11" s="6" t="s">
        <v>400</v>
      </c>
      <c r="J11" s="27" t="s">
        <v>55</v>
      </c>
      <c r="K11" s="16" t="n">
        <f aca="false">B13</f>
        <v>75</v>
      </c>
      <c r="L11" s="18" t="n">
        <f aca="false">IF(SUM(F12:F15)=0,0,C13*D13/SUM(F12:F15))</f>
        <v>0.2</v>
      </c>
      <c r="M11" s="16" t="n">
        <f aca="false">B28</f>
        <v>70.05</v>
      </c>
      <c r="N11" s="18" t="n">
        <f aca="false">Ref!$B$5</f>
        <v>0.4</v>
      </c>
      <c r="O11" s="16" t="n">
        <f aca="false">IF(ISNUMBER(K11),Ref!$E$5*MAX(0,Ref!$E$4-K11),"")</f>
        <v>3</v>
      </c>
      <c r="P11" s="18" t="n">
        <f aca="false">IF(ISNUMBER(K11),B32*((1+L11*O11/M11)^N11-1),"")</f>
        <v>0.247122761890417</v>
      </c>
      <c r="Q11" s="15" t="n">
        <f aca="false">IF(ISNUMBER(K11),1/(1+EXP((K11-AVERAGE($K$5:$K$18))/Ref!$E$6)),"")</f>
        <v>0.270627395273177</v>
      </c>
      <c r="R11" s="15" t="n">
        <f aca="false">IF(ISNUMBER(K11),P11*Q11,"")</f>
        <v>0.066878189363117</v>
      </c>
      <c r="S11" s="6" t="n">
        <f aca="false">IF(ISNUMBER(R11),R11-ROW()/1000000,"")</f>
        <v>0.066867189363117</v>
      </c>
    </row>
    <row r="12" customFormat="false" ht="34.5" hidden="false" customHeight="true" outlineLevel="0" collapsed="false">
      <c r="A12" s="10" t="s">
        <v>399</v>
      </c>
      <c r="B12" s="16" t="n">
        <f aca="false">'Motivation Inputs'!$D$19</f>
        <v>72</v>
      </c>
      <c r="C12" s="18" t="n">
        <f aca="false">INDEX(Ref!$C$15:$H$31,MATCH("M1",Ref!$A$15:$A$31,0),MATCH('Engagement Metadata'!$D$18,Ref!$C$14:$H$14,0))</f>
        <v>0.5</v>
      </c>
      <c r="D12" s="17" t="n">
        <f aca="false">IF(ISNUMBER(B12),1,0)</f>
        <v>1</v>
      </c>
      <c r="E12" s="16" t="n">
        <f aca="false">IF(ISNUMBER(B12),B12*C12,0)</f>
        <v>36</v>
      </c>
      <c r="F12" s="18" t="n">
        <f aca="false">C12*D12</f>
        <v>0.5</v>
      </c>
      <c r="H12" s="27" t="s">
        <v>398</v>
      </c>
      <c r="I12" s="6" t="s">
        <v>401</v>
      </c>
      <c r="J12" s="27" t="s">
        <v>57</v>
      </c>
      <c r="K12" s="16" t="n">
        <f aca="false">B14</f>
        <v>67</v>
      </c>
      <c r="L12" s="18" t="n">
        <f aca="false">IF(SUM(F12:F15)=0,0,C14*D14/SUM(F12:F15))</f>
        <v>0.15</v>
      </c>
      <c r="M12" s="16" t="n">
        <f aca="false">B28</f>
        <v>70.05</v>
      </c>
      <c r="N12" s="18" t="n">
        <f aca="false">Ref!$B$5</f>
        <v>0.4</v>
      </c>
      <c r="O12" s="16" t="n">
        <f aca="false">IF(ISNUMBER(K12),Ref!$E$5*MAX(0,Ref!$E$4-K12),"")</f>
        <v>5.4</v>
      </c>
      <c r="P12" s="18" t="n">
        <f aca="false">IF(ISNUMBER(K12),B32*((1+L12*O12/M12)^N12-1),"")</f>
        <v>0.333318116897318</v>
      </c>
      <c r="Q12" s="15" t="n">
        <f aca="false">IF(ISNUMBER(K12),1/(1+EXP((K12-AVERAGE($K$5:$K$18))/Ref!$E$6)),"")</f>
        <v>0.502139544587047</v>
      </c>
      <c r="R12" s="15" t="n">
        <f aca="false">IF(ISNUMBER(K12),P12*Q12,"")</f>
        <v>0.167372207421431</v>
      </c>
      <c r="S12" s="6" t="n">
        <f aca="false">IF(ISNUMBER(R12),R12-ROW()/1000000,"")</f>
        <v>0.167360207421431</v>
      </c>
    </row>
    <row r="13" customFormat="false" ht="23.25" hidden="false" customHeight="true" outlineLevel="0" collapsed="false">
      <c r="A13" s="10" t="s">
        <v>400</v>
      </c>
      <c r="B13" s="16" t="n">
        <f aca="false">'Motivation Inputs'!$D$29</f>
        <v>75</v>
      </c>
      <c r="C13" s="18" t="n">
        <f aca="false">INDEX(Ref!$C$15:$H$31,MATCH("M2",Ref!$A$15:$A$31,0),MATCH('Engagement Metadata'!$D$18,Ref!$C$14:$H$14,0))</f>
        <v>0.2</v>
      </c>
      <c r="D13" s="17" t="n">
        <f aca="false">IF(ISNUMBER(B13),1,0)</f>
        <v>1</v>
      </c>
      <c r="E13" s="16" t="n">
        <f aca="false">IF(ISNUMBER(B13),B13*C13,0)</f>
        <v>15</v>
      </c>
      <c r="F13" s="18" t="n">
        <f aca="false">C13*D13</f>
        <v>0.2</v>
      </c>
      <c r="H13" s="27" t="s">
        <v>398</v>
      </c>
      <c r="I13" s="6" t="s">
        <v>402</v>
      </c>
      <c r="J13" s="27" t="s">
        <v>59</v>
      </c>
      <c r="K13" s="16" t="n">
        <f aca="false">B15</f>
        <v>60</v>
      </c>
      <c r="L13" s="18" t="n">
        <f aca="false">IF(SUM(F12:F15)=0,0,C15*D15/SUM(F12:F15))</f>
        <v>0.15</v>
      </c>
      <c r="M13" s="16" t="n">
        <f aca="false">B28</f>
        <v>70.05</v>
      </c>
      <c r="N13" s="18" t="n">
        <f aca="false">Ref!$B$5</f>
        <v>0.4</v>
      </c>
      <c r="O13" s="16" t="n">
        <f aca="false">IF(ISNUMBER(K13),Ref!$E$5*MAX(0,Ref!$E$4-K13),"")</f>
        <v>7.5</v>
      </c>
      <c r="P13" s="18" t="n">
        <f aca="false">IF(ISNUMBER(K13),B32*((1+L13*O13/M13)^N13-1),"")</f>
        <v>0.462324251799247</v>
      </c>
      <c r="Q13" s="15" t="n">
        <f aca="false">IF(ISNUMBER(K13),1/(1+EXP((K13-AVERAGE($K$5:$K$18))/Ref!$E$6)),"")</f>
        <v>0.707559030880924</v>
      </c>
      <c r="R13" s="15" t="n">
        <f aca="false">IF(ISNUMBER(K13),P13*Q13,"")</f>
        <v>0.327121699555823</v>
      </c>
      <c r="S13" s="6" t="n">
        <f aca="false">IF(ISNUMBER(R13),R13-ROW()/1000000,"")</f>
        <v>0.327108699555823</v>
      </c>
    </row>
    <row r="14" customFormat="false" ht="23.25" hidden="false" customHeight="true" outlineLevel="0" collapsed="false">
      <c r="A14" s="10" t="s">
        <v>401</v>
      </c>
      <c r="B14" s="16" t="n">
        <f aca="false">'Motivation Inputs'!$D$39</f>
        <v>67</v>
      </c>
      <c r="C14" s="18" t="n">
        <f aca="false">INDEX(Ref!$C$15:$H$31,MATCH("M3",Ref!$A$15:$A$31,0),MATCH('Engagement Metadata'!$D$18,Ref!$C$14:$H$14,0))</f>
        <v>0.15</v>
      </c>
      <c r="D14" s="17" t="n">
        <f aca="false">IF(ISNUMBER(B14),1,0)</f>
        <v>1</v>
      </c>
      <c r="E14" s="16" t="n">
        <f aca="false">IF(ISNUMBER(B14),B14*C14,0)</f>
        <v>10.05</v>
      </c>
      <c r="F14" s="18" t="n">
        <f aca="false">C14*D14</f>
        <v>0.15</v>
      </c>
      <c r="H14" s="27" t="s">
        <v>403</v>
      </c>
      <c r="I14" s="6" t="s">
        <v>404</v>
      </c>
      <c r="J14" s="27" t="s">
        <v>66</v>
      </c>
      <c r="K14" s="16" t="n">
        <f aca="false">B17</f>
        <v>61.228125</v>
      </c>
      <c r="L14" s="18" t="n">
        <f aca="false">IF(SUM(F17:F21)=0,0,C17*D17/SUM(F17:F21))</f>
        <v>0.3</v>
      </c>
      <c r="M14" s="16" t="n">
        <f aca="false">B29</f>
        <v>61.3809375</v>
      </c>
      <c r="N14" s="18" t="n">
        <f aca="false">Ref!$B$6</f>
        <v>0.25</v>
      </c>
      <c r="O14" s="16" t="n">
        <f aca="false">IF(ISNUMBER(K14),Ref!$E$5*MAX(0,Ref!$E$4-K14),"")</f>
        <v>7.1315625</v>
      </c>
      <c r="P14" s="18" t="n">
        <f aca="false">IF(ISNUMBER(K14),B32*((1+L14*O14/M14)^N14-1),"")</f>
        <v>0.62206329873543</v>
      </c>
      <c r="Q14" s="15" t="n">
        <f aca="false">IF(ISNUMBER(K14),1/(1+EXP((K14-AVERAGE($K$5:$K$18))/Ref!$E$6)),"")</f>
        <v>0.674814622014799</v>
      </c>
      <c r="R14" s="15" t="n">
        <f aca="false">IF(ISNUMBER(K14),P14*Q14,"")</f>
        <v>0.419777409805429</v>
      </c>
      <c r="S14" s="6" t="n">
        <f aca="false">IF(ISNUMBER(R14),R14-ROW()/1000000,"")</f>
        <v>0.419763409805429</v>
      </c>
    </row>
    <row r="15" customFormat="false" ht="23.25" hidden="false" customHeight="true" outlineLevel="0" collapsed="false">
      <c r="A15" s="10" t="s">
        <v>402</v>
      </c>
      <c r="B15" s="16" t="n">
        <f aca="false">'Motivation Inputs'!$D$48</f>
        <v>60</v>
      </c>
      <c r="C15" s="18" t="n">
        <f aca="false">INDEX(Ref!$C$15:$H$31,MATCH("M4",Ref!$A$15:$A$31,0),MATCH('Engagement Metadata'!$D$18,Ref!$C$14:$H$14,0))</f>
        <v>0.15</v>
      </c>
      <c r="D15" s="17" t="n">
        <f aca="false">IF(ISNUMBER(B15),1,0)</f>
        <v>1</v>
      </c>
      <c r="E15" s="16" t="n">
        <f aca="false">IF(ISNUMBER(B15),B15*C15,0)</f>
        <v>9</v>
      </c>
      <c r="F15" s="18" t="n">
        <f aca="false">C15*D15</f>
        <v>0.15</v>
      </c>
      <c r="H15" s="27" t="s">
        <v>403</v>
      </c>
      <c r="I15" s="6" t="s">
        <v>405</v>
      </c>
      <c r="J15" s="27" t="s">
        <v>69</v>
      </c>
      <c r="K15" s="16" t="n">
        <f aca="false">B18</f>
        <v>69.25</v>
      </c>
      <c r="L15" s="18" t="n">
        <f aca="false">IF(SUM(F17:F21)=0,0,C18*D18/SUM(F17:F21))</f>
        <v>0.25</v>
      </c>
      <c r="M15" s="16" t="n">
        <f aca="false">B29</f>
        <v>61.3809375</v>
      </c>
      <c r="N15" s="18" t="n">
        <f aca="false">Ref!$B$6</f>
        <v>0.25</v>
      </c>
      <c r="O15" s="16" t="n">
        <f aca="false">IF(ISNUMBER(K15),Ref!$E$5*MAX(0,Ref!$E$4-K15),"")</f>
        <v>4.725</v>
      </c>
      <c r="P15" s="18" t="n">
        <f aca="false">IF(ISNUMBER(K15),B32*((1+L15*O15/M15)^N15-1),"")</f>
        <v>0.345429724605946</v>
      </c>
      <c r="Q15" s="15" t="n">
        <f aca="false">IF(ISNUMBER(K15),1/(1+EXP((K15-AVERAGE($K$5:$K$18))/Ref!$E$6)),"")</f>
        <v>0.432246389288702</v>
      </c>
      <c r="R15" s="15" t="n">
        <f aca="false">IF(ISNUMBER(K15),P15*Q15,"")</f>
        <v>0.149310751213911</v>
      </c>
      <c r="S15" s="6" t="n">
        <f aca="false">IF(ISNUMBER(R15),R15-ROW()/1000000,"")</f>
        <v>0.149295751213911</v>
      </c>
    </row>
    <row r="16" customFormat="false" ht="23.25" hidden="false" customHeight="true" outlineLevel="0" collapsed="false">
      <c r="A16" s="14" t="s">
        <v>403</v>
      </c>
      <c r="B16" s="14"/>
      <c r="C16" s="14"/>
      <c r="D16" s="14"/>
      <c r="E16" s="14"/>
      <c r="F16" s="14"/>
      <c r="H16" s="27" t="s">
        <v>403</v>
      </c>
      <c r="I16" s="6" t="s">
        <v>406</v>
      </c>
      <c r="J16" s="27" t="s">
        <v>71</v>
      </c>
      <c r="K16" s="16" t="n">
        <f aca="false">B19</f>
        <v>55.25</v>
      </c>
      <c r="L16" s="18" t="n">
        <f aca="false">IF(SUM(F17:F21)=0,0,C19*D19/SUM(F17:F21))</f>
        <v>0.2</v>
      </c>
      <c r="M16" s="16" t="n">
        <f aca="false">B29</f>
        <v>61.3809375</v>
      </c>
      <c r="N16" s="18" t="n">
        <f aca="false">Ref!$B$6</f>
        <v>0.25</v>
      </c>
      <c r="O16" s="16" t="n">
        <f aca="false">IF(ISNUMBER(K16),Ref!$E$5*MAX(0,Ref!$E$4-K16),"")</f>
        <v>8.925</v>
      </c>
      <c r="P16" s="18" t="n">
        <f aca="false">IF(ISNUMBER(K16),B32*((1+L16*O16/M16)^N16-1),"")</f>
        <v>0.520096817490926</v>
      </c>
      <c r="Q16" s="15" t="n">
        <f aca="false">IF(ISNUMBER(K16),1/(1+EXP((K16-AVERAGE($K$5:$K$18))/Ref!$E$6)),"")</f>
        <v>0.81416566052437</v>
      </c>
      <c r="R16" s="15" t="n">
        <f aca="false">IF(ISNUMBER(K16),P16*Q16,"")</f>
        <v>0.423444968949122</v>
      </c>
      <c r="S16" s="6" t="n">
        <f aca="false">IF(ISNUMBER(R16),R16-ROW()/1000000,"")</f>
        <v>0.423428968949122</v>
      </c>
    </row>
    <row r="17" customFormat="false" ht="23.25" hidden="false" customHeight="true" outlineLevel="0" collapsed="false">
      <c r="A17" s="10" t="s">
        <v>404</v>
      </c>
      <c r="B17" s="16" t="n">
        <f aca="false">'Opportunity Inputs'!$D$23</f>
        <v>61.228125</v>
      </c>
      <c r="C17" s="18" t="n">
        <f aca="false">INDEX(Ref!$C$15:$H$31,MATCH("O1",Ref!$A$15:$A$31,0),MATCH('Engagement Metadata'!$D$18,Ref!$C$14:$H$14,0))</f>
        <v>0.3</v>
      </c>
      <c r="D17" s="17" t="n">
        <f aca="false">IF(ISNUMBER(B17),1,0)</f>
        <v>1</v>
      </c>
      <c r="E17" s="16" t="n">
        <f aca="false">IF(ISNUMBER(B17),B17*C17,0)</f>
        <v>18.3684375</v>
      </c>
      <c r="F17" s="18" t="n">
        <f aca="false">C17*D17</f>
        <v>0.3</v>
      </c>
      <c r="H17" s="27" t="s">
        <v>403</v>
      </c>
      <c r="I17" s="6" t="s">
        <v>407</v>
      </c>
      <c r="J17" s="27" t="s">
        <v>73</v>
      </c>
      <c r="K17" s="16" t="n">
        <f aca="false">B20</f>
        <v>47.5</v>
      </c>
      <c r="L17" s="18" t="n">
        <f aca="false">IF(SUM(F17:F21)=0,0,C20*D20/SUM(F17:F21))</f>
        <v>0.1</v>
      </c>
      <c r="M17" s="16" t="n">
        <f aca="false">B29</f>
        <v>61.3809375</v>
      </c>
      <c r="N17" s="18" t="n">
        <f aca="false">Ref!$B$6</f>
        <v>0.25</v>
      </c>
      <c r="O17" s="16" t="n">
        <f aca="false">IF(ISNUMBER(K17),Ref!$E$5*MAX(0,Ref!$E$4-K17),"")</f>
        <v>11.25</v>
      </c>
      <c r="P17" s="18" t="n">
        <f aca="false">IF(ISNUMBER(K17),B32*((1+L17*O17/M17)^N17-1),"")</f>
        <v>0.329092109761143</v>
      </c>
      <c r="Q17" s="15" t="n">
        <f aca="false">IF(ISNUMBER(K17),1/(1+EXP((K17-AVERAGE($K$5:$K$18))/Ref!$E$6)),"")</f>
        <v>0.920272718567815</v>
      </c>
      <c r="R17" s="15" t="n">
        <f aca="false">IF(ISNUMBER(K17),P17*Q17,"")</f>
        <v>0.302854490509105</v>
      </c>
      <c r="S17" s="6" t="n">
        <f aca="false">IF(ISNUMBER(R17),R17-ROW()/1000000,"")</f>
        <v>0.302837490509105</v>
      </c>
    </row>
    <row r="18" customFormat="false" ht="34.5" hidden="false" customHeight="true" outlineLevel="0" collapsed="false">
      <c r="A18" s="10" t="s">
        <v>405</v>
      </c>
      <c r="B18" s="16" t="n">
        <f aca="false">'Opportunity Inputs'!$D$40</f>
        <v>69.25</v>
      </c>
      <c r="C18" s="18" t="n">
        <f aca="false">INDEX(Ref!$C$15:$H$31,MATCH("O2",Ref!$A$15:$A$31,0),MATCH('Engagement Metadata'!$D$18,Ref!$C$14:$H$14,0))</f>
        <v>0.25</v>
      </c>
      <c r="D18" s="17" t="n">
        <f aca="false">IF(ISNUMBER(B18),1,0)</f>
        <v>1</v>
      </c>
      <c r="E18" s="16" t="n">
        <f aca="false">IF(ISNUMBER(B18),B18*C18,0)</f>
        <v>17.3125</v>
      </c>
      <c r="F18" s="18" t="n">
        <f aca="false">C18*D18</f>
        <v>0.25</v>
      </c>
      <c r="H18" s="27" t="s">
        <v>403</v>
      </c>
      <c r="I18" s="6" t="s">
        <v>408</v>
      </c>
      <c r="J18" s="27" t="s">
        <v>75</v>
      </c>
      <c r="K18" s="16" t="n">
        <f aca="false">B21</f>
        <v>66</v>
      </c>
      <c r="L18" s="18" t="n">
        <f aca="false">IF(SUM(F17:F21)=0,0,C21*D21/SUM(F17:F21))</f>
        <v>0.15</v>
      </c>
      <c r="M18" s="16" t="n">
        <f aca="false">B29</f>
        <v>61.3809375</v>
      </c>
      <c r="N18" s="18" t="n">
        <f aca="false">Ref!$B$6</f>
        <v>0.25</v>
      </c>
      <c r="O18" s="16" t="n">
        <f aca="false">IF(ISNUMBER(K18),Ref!$E$5*MAX(0,Ref!$E$4-K18),"")</f>
        <v>5.7</v>
      </c>
      <c r="P18" s="18" t="n">
        <f aca="false">IF(ISNUMBER(K18),B32*((1+L18*O18/M18)^N18-1),"")</f>
        <v>0.250517705812853</v>
      </c>
      <c r="Q18" s="15" t="n">
        <f aca="false">IF(ISNUMBER(K18),1/(1+EXP((K18-AVERAGE($K$5:$K$18))/Ref!$E$6)),"")</f>
        <v>0.533340012997247</v>
      </c>
      <c r="R18" s="15" t="n">
        <f aca="false">IF(ISNUMBER(K18),P18*Q18,"")</f>
        <v>0.133611116474268</v>
      </c>
      <c r="S18" s="6" t="n">
        <f aca="false">IF(ISNUMBER(R18),R18-ROW()/1000000,"")</f>
        <v>0.133593116474268</v>
      </c>
    </row>
    <row r="19" customFormat="false" ht="15" hidden="false" customHeight="true" outlineLevel="0" collapsed="false">
      <c r="A19" s="10" t="s">
        <v>406</v>
      </c>
      <c r="B19" s="16" t="n">
        <f aca="false">'Opportunity Inputs'!$D$56</f>
        <v>55.25</v>
      </c>
      <c r="C19" s="18" t="n">
        <f aca="false">INDEX(Ref!$C$15:$H$31,MATCH("O3",Ref!$A$15:$A$31,0),MATCH('Engagement Metadata'!$D$18,Ref!$C$14:$H$14,0))</f>
        <v>0.2</v>
      </c>
      <c r="D19" s="17" t="n">
        <f aca="false">IF(ISNUMBER(B19),1,0)</f>
        <v>1</v>
      </c>
      <c r="E19" s="16" t="n">
        <f aca="false">IF(ISNUMBER(B19),B19*C19,0)</f>
        <v>11.05</v>
      </c>
      <c r="F19" s="18" t="n">
        <f aca="false">C19*D19</f>
        <v>0.2</v>
      </c>
    </row>
    <row r="20" customFormat="false" ht="15" hidden="false" customHeight="true" outlineLevel="0" collapsed="false">
      <c r="A20" s="10" t="s">
        <v>407</v>
      </c>
      <c r="B20" s="16" t="n">
        <f aca="false">'Opportunity Inputs'!$D$67</f>
        <v>47.5</v>
      </c>
      <c r="C20" s="18" t="n">
        <f aca="false">INDEX(Ref!$C$15:$H$31,MATCH("O4",Ref!$A$15:$A$31,0),MATCH('Engagement Metadata'!$D$18,Ref!$C$14:$H$14,0))</f>
        <v>0.1</v>
      </c>
      <c r="D20" s="17" t="n">
        <f aca="false">IF(ISNUMBER(B20),1,0)</f>
        <v>1</v>
      </c>
      <c r="E20" s="16" t="n">
        <f aca="false">IF(ISNUMBER(B20),B20*C20,0)</f>
        <v>4.75</v>
      </c>
      <c r="F20" s="18" t="n">
        <f aca="false">C20*D20</f>
        <v>0.1</v>
      </c>
    </row>
    <row r="21" customFormat="false" ht="15" hidden="false" customHeight="true" outlineLevel="0" collapsed="false">
      <c r="A21" s="10" t="s">
        <v>408</v>
      </c>
      <c r="B21" s="16" t="n">
        <f aca="false">'Opportunity Inputs'!$D$75</f>
        <v>66</v>
      </c>
      <c r="C21" s="18" t="n">
        <f aca="false">INDEX(Ref!$C$15:$H$31,MATCH("O5",Ref!$A$15:$A$31,0),MATCH('Engagement Metadata'!$D$18,Ref!$C$14:$H$14,0))</f>
        <v>0.15</v>
      </c>
      <c r="D21" s="17" t="n">
        <f aca="false">IF(ISNUMBER(B21),1,0)</f>
        <v>1</v>
      </c>
      <c r="E21" s="16" t="n">
        <f aca="false">IF(ISNUMBER(B21),B21*C21,0)</f>
        <v>9.9</v>
      </c>
      <c r="F21" s="18" t="n">
        <f aca="false">C21*D21</f>
        <v>0.15</v>
      </c>
    </row>
    <row r="22" customFormat="false" ht="15" hidden="false" customHeight="true" outlineLevel="0" collapsed="false">
      <c r="A22" s="14" t="s">
        <v>409</v>
      </c>
      <c r="B22" s="14"/>
      <c r="C22" s="14"/>
      <c r="D22" s="14"/>
      <c r="E22" s="14"/>
      <c r="F22" s="14"/>
    </row>
    <row r="23" customFormat="false" ht="15" hidden="false" customHeight="true" outlineLevel="0" collapsed="false">
      <c r="A23" s="10" t="s">
        <v>410</v>
      </c>
      <c r="B23" s="16" t="n">
        <f aca="false">'Synergy Inputs'!$D$8</f>
        <v>85.75</v>
      </c>
      <c r="C23" s="18" t="n">
        <f aca="false">INDEX(Ref!$C$15:$H$31,MATCH("S1",Ref!$A$15:$A$31,0),MATCH('Engagement Metadata'!$D$18,Ref!$C$14:$H$14,0))</f>
        <v>0.3</v>
      </c>
      <c r="D23" s="17" t="n">
        <f aca="false">IF(ISNUMBER(B23),1,0)</f>
        <v>1</v>
      </c>
      <c r="E23" s="16" t="n">
        <f aca="false">IF(ISNUMBER(B23),B23*C23,0)</f>
        <v>25.725</v>
      </c>
      <c r="F23" s="18" t="n">
        <f aca="false">C23*D23</f>
        <v>0.3</v>
      </c>
    </row>
    <row r="24" customFormat="false" ht="15" hidden="false" customHeight="true" outlineLevel="0" collapsed="false">
      <c r="A24" s="10" t="s">
        <v>411</v>
      </c>
      <c r="B24" s="16" t="n">
        <f aca="false">'Synergy Inputs'!$D$26</f>
        <v>54.375</v>
      </c>
      <c r="C24" s="18" t="n">
        <f aca="false">INDEX(Ref!$C$15:$H$31,MATCH("S2",Ref!$A$15:$A$31,0),MATCH('Engagement Metadata'!$D$18,Ref!$C$14:$H$14,0))</f>
        <v>0.4</v>
      </c>
      <c r="D24" s="17" t="n">
        <f aca="false">IF(ISNUMBER(B24),1,0)</f>
        <v>1</v>
      </c>
      <c r="E24" s="16" t="n">
        <f aca="false">IF(ISNUMBER(B24),B24*C24,0)</f>
        <v>21.75</v>
      </c>
      <c r="F24" s="18" t="n">
        <f aca="false">C24*D24</f>
        <v>0.4</v>
      </c>
    </row>
    <row r="25" customFormat="false" ht="15" hidden="false" customHeight="true" outlineLevel="0" collapsed="false">
      <c r="A25" s="10" t="s">
        <v>412</v>
      </c>
      <c r="B25" s="16" t="n">
        <f aca="false">'Synergy Inputs'!$D$36</f>
        <v>66</v>
      </c>
      <c r="C25" s="18" t="n">
        <f aca="false">INDEX(Ref!$C$15:$H$31,MATCH("S3",Ref!$A$15:$A$31,0),MATCH('Engagement Metadata'!$D$18,Ref!$C$14:$H$14,0))</f>
        <v>0.3</v>
      </c>
      <c r="D25" s="17" t="n">
        <f aca="false">IF(ISNUMBER(B25),1,0)</f>
        <v>1</v>
      </c>
      <c r="E25" s="16" t="n">
        <f aca="false">IF(ISNUMBER(B25),B25*C25,0)</f>
        <v>19.8</v>
      </c>
      <c r="F25" s="18" t="n">
        <f aca="false">C25*D25</f>
        <v>0.3</v>
      </c>
    </row>
    <row r="27" customFormat="false" ht="15" hidden="false" customHeight="true" outlineLevel="0" collapsed="false">
      <c r="A27" s="7" t="s">
        <v>413</v>
      </c>
      <c r="B27" s="19" t="n">
        <f aca="false">IF(SUM(F6:F10)=0,"",SUM(E6:E10)/SUM(F6:F10))</f>
        <v>72.9730317460318</v>
      </c>
    </row>
    <row r="28" customFormat="false" ht="15" hidden="false" customHeight="true" outlineLevel="0" collapsed="false">
      <c r="A28" s="7" t="s">
        <v>414</v>
      </c>
      <c r="B28" s="19" t="n">
        <f aca="false">IF(SUM(F12:F15)=0,"",SUM(E12:E15)/SUM(F12:F15))</f>
        <v>70.05</v>
      </c>
    </row>
    <row r="29" customFormat="false" ht="15" hidden="false" customHeight="true" outlineLevel="0" collapsed="false">
      <c r="A29" s="7" t="s">
        <v>415</v>
      </c>
      <c r="B29" s="19" t="n">
        <f aca="false">IF(SUM(F17:F21)=0,"",SUM(E17:E21)/SUM(F17:F21))</f>
        <v>61.3809375</v>
      </c>
    </row>
    <row r="30" customFormat="false" ht="15" hidden="false" customHeight="true" outlineLevel="0" collapsed="false">
      <c r="A30" s="7" t="s">
        <v>416</v>
      </c>
      <c r="B30" s="19" t="n">
        <f aca="false">IF(SUM(F23:F25)=0,50,SUM(E23:E25)/SUM(F23:F25))</f>
        <v>67.275</v>
      </c>
    </row>
    <row r="31" customFormat="false" ht="15" hidden="false" customHeight="true" outlineLevel="0" collapsed="false">
      <c r="A31" s="7" t="s">
        <v>417</v>
      </c>
      <c r="B31" s="28" t="n">
        <f aca="false">MAX(Ref!$B$7,MIN(Ref!$B$7+Ref!$B$8,Ref!$B$7+(B30/100)*Ref!$B$8))</f>
        <v>1.051825</v>
      </c>
    </row>
    <row r="32" customFormat="false" ht="15" hidden="false" customHeight="true" outlineLevel="0" collapsed="false">
      <c r="A32" s="4" t="s">
        <v>418</v>
      </c>
      <c r="B32" s="19" t="n">
        <f aca="false">IF(AND(ISNUMBER(B27),ISNUMBER(B28),ISNUMBER(B29),ISNUMBER(B31)),B31*(B27^Ref!$B$4*B28^Ref!$B$5*B29^Ref!$B$6),"")</f>
        <v>72.3139293565219</v>
      </c>
    </row>
    <row r="34" customFormat="false" ht="15" hidden="false" customHeight="true" outlineLevel="0" collapsed="false">
      <c r="A34" s="14" t="s">
        <v>419</v>
      </c>
      <c r="B34" s="14"/>
      <c r="C34" s="14"/>
      <c r="D34" s="14"/>
      <c r="E34" s="14"/>
      <c r="F34" s="14"/>
    </row>
    <row r="35" customFormat="false" ht="23.25" hidden="false" customHeight="true" outlineLevel="0" collapsed="false">
      <c r="A35" s="9" t="s">
        <v>420</v>
      </c>
      <c r="B35" s="9" t="s">
        <v>421</v>
      </c>
      <c r="C35" s="9" t="s">
        <v>32</v>
      </c>
      <c r="D35" s="9" t="s">
        <v>422</v>
      </c>
      <c r="E35" s="9" t="s">
        <v>423</v>
      </c>
      <c r="F35" s="9" t="s">
        <v>424</v>
      </c>
    </row>
    <row r="36" customFormat="false" ht="23.25" hidden="false" customHeight="true" outlineLevel="0" collapsed="false">
      <c r="A36" s="17" t="n">
        <v>1</v>
      </c>
      <c r="B36" s="27" t="str">
        <f aca="false">IFERROR(INDEX($H$5:$H$18,MATCH(LARGE($S$5:$S$18,1),$S$5:$S$18,0)),"")</f>
        <v>Opportunity</v>
      </c>
      <c r="C36" s="27" t="str">
        <f aca="false">IFERROR(INDEX($J$5:$J$18,MATCH(LARGE($S$5:$S$18,1),$S$5:$S$18,0)),"")</f>
        <v>O3 - Process &amp; workflow</v>
      </c>
      <c r="D36" s="16" t="n">
        <f aca="false">IFERROR(INDEX($K$5:$K$18,MATCH(LARGE($S$5:$S$18,1),$S$5:$S$18,0)),"")</f>
        <v>55.25</v>
      </c>
      <c r="E36" s="18" t="n">
        <f aca="false">IFERROR(INDEX($P$5:$P$18,MATCH(LARGE($S$5:$S$18,1),$S$5:$S$18,0)),"")</f>
        <v>0.520096817490926</v>
      </c>
      <c r="F36" s="15" t="n">
        <f aca="false">IFERROR(INDEX($R$5:$R$18,MATCH(LARGE($S$5:$S$18,1),$S$5:$S$18,0)),"")</f>
        <v>0.423444968949122</v>
      </c>
    </row>
    <row r="37" customFormat="false" ht="23.25" hidden="false" customHeight="true" outlineLevel="0" collapsed="false">
      <c r="A37" s="17" t="n">
        <v>2</v>
      </c>
      <c r="B37" s="27" t="str">
        <f aca="false">IFERROR(INDEX($H$5:$H$18,MATCH(LARGE($S$5:$S$18,2),$S$5:$S$18,0)),"")</f>
        <v>Opportunity</v>
      </c>
      <c r="C37" s="27" t="str">
        <f aca="false">IFERROR(INDEX($J$5:$J$18,MATCH(LARGE($S$5:$S$18,2),$S$5:$S$18,0)),"")</f>
        <v>O1 - Clarity &amp; decision rights</v>
      </c>
      <c r="D37" s="16" t="n">
        <f aca="false">IFERROR(INDEX($K$5:$K$18,MATCH(LARGE($S$5:$S$18,2),$S$5:$S$18,0)),"")</f>
        <v>61.228125</v>
      </c>
      <c r="E37" s="18" t="n">
        <f aca="false">IFERROR(INDEX($P$5:$P$18,MATCH(LARGE($S$5:$S$18,2),$S$5:$S$18,0)),"")</f>
        <v>0.62206329873543</v>
      </c>
      <c r="F37" s="15" t="n">
        <f aca="false">IFERROR(INDEX($R$5:$R$18,MATCH(LARGE($S$5:$S$18,2),$S$5:$S$18,0)),"")</f>
        <v>0.419777409805429</v>
      </c>
    </row>
    <row r="38" customFormat="false" ht="23.25" hidden="false" customHeight="true" outlineLevel="0" collapsed="false">
      <c r="A38" s="17" t="n">
        <v>3</v>
      </c>
      <c r="B38" s="27" t="str">
        <f aca="false">IFERROR(INDEX($H$5:$H$18,MATCH(LARGE($S$5:$S$18,3),$S$5:$S$18,0)),"")</f>
        <v>Motivation</v>
      </c>
      <c r="C38" s="27" t="str">
        <f aca="false">IFERROR(INDEX($J$5:$J$18,MATCH(LARGE($S$5:$S$18,3),$S$5:$S$18,0)),"")</f>
        <v>M4 - Purpose alignment</v>
      </c>
      <c r="D38" s="16" t="n">
        <f aca="false">IFERROR(INDEX($K$5:$K$18,MATCH(LARGE($S$5:$S$18,3),$S$5:$S$18,0)),"")</f>
        <v>60</v>
      </c>
      <c r="E38" s="18" t="n">
        <f aca="false">IFERROR(INDEX($P$5:$P$18,MATCH(LARGE($S$5:$S$18,3),$S$5:$S$18,0)),"")</f>
        <v>0.462324251799247</v>
      </c>
      <c r="F38" s="15" t="n">
        <f aca="false">IFERROR(INDEX($R$5:$R$18,MATCH(LARGE($S$5:$S$18,3),$S$5:$S$18,0)),"")</f>
        <v>0.327121699555823</v>
      </c>
    </row>
    <row r="39" customFormat="false" ht="23.25" hidden="false" customHeight="true" outlineLevel="0" collapsed="false">
      <c r="A39" s="17" t="n">
        <v>4</v>
      </c>
      <c r="B39" s="27" t="str">
        <f aca="false">IFERROR(INDEX($H$5:$H$18,MATCH(LARGE($S$5:$S$18,4),$S$5:$S$18,0)),"")</f>
        <v>Opportunity</v>
      </c>
      <c r="C39" s="27" t="str">
        <f aca="false">IFERROR(INDEX($J$5:$J$18,MATCH(LARGE($S$5:$S$18,4),$S$5:$S$18,0)),"")</f>
        <v>O4 - Resource adequacy</v>
      </c>
      <c r="D39" s="16" t="n">
        <f aca="false">IFERROR(INDEX($K$5:$K$18,MATCH(LARGE($S$5:$S$18,4),$S$5:$S$18,0)),"")</f>
        <v>47.5</v>
      </c>
      <c r="E39" s="18" t="n">
        <f aca="false">IFERROR(INDEX($P$5:$P$18,MATCH(LARGE($S$5:$S$18,4),$S$5:$S$18,0)),"")</f>
        <v>0.329092109761143</v>
      </c>
      <c r="F39" s="15" t="n">
        <f aca="false">IFERROR(INDEX($R$5:$R$18,MATCH(LARGE($S$5:$S$18,4),$S$5:$S$18,0)),"")</f>
        <v>0.302854490509105</v>
      </c>
    </row>
    <row r="40" customFormat="false" ht="34.5" hidden="false" customHeight="true" outlineLevel="0" collapsed="false">
      <c r="A40" s="17" t="n">
        <v>5</v>
      </c>
      <c r="B40" s="27" t="str">
        <f aca="false">IFERROR(INDEX($H$5:$H$18,MATCH(LARGE($S$5:$S$18,5),$S$5:$S$18,0)),"")</f>
        <v>Motivation</v>
      </c>
      <c r="C40" s="27" t="str">
        <f aca="false">IFERROR(INDEX($J$5:$J$18,MATCH(LARGE($S$5:$S$18,5),$S$5:$S$18,0)),"")</f>
        <v>M1 - Engagement &amp; confidence</v>
      </c>
      <c r="D40" s="16" t="n">
        <f aca="false">IFERROR(INDEX($K$5:$K$18,MATCH(LARGE($S$5:$S$18,5),$S$5:$S$18,0)),"")</f>
        <v>72</v>
      </c>
      <c r="E40" s="18" t="n">
        <f aca="false">IFERROR(INDEX($P$5:$P$18,MATCH(LARGE($S$5:$S$18,5),$S$5:$S$18,0)),"")</f>
        <v>0.79858225849194</v>
      </c>
      <c r="F40" s="15" t="n">
        <f aca="false">IFERROR(INDEX($R$5:$R$18,MATCH(LARGE($S$5:$S$18,5),$S$5:$S$18,0)),"")</f>
        <v>0.279975870264652</v>
      </c>
    </row>
    <row r="41" customFormat="false" ht="23.25" hidden="false" customHeight="true" outlineLevel="0" collapsed="false">
      <c r="A41" s="17" t="n">
        <v>6</v>
      </c>
      <c r="B41" s="27" t="str">
        <f aca="false">IFERROR(INDEX($H$5:$H$18,MATCH(LARGE($S$5:$S$18,6),$S$5:$S$18,0)),"")</f>
        <v>Capability</v>
      </c>
      <c r="C41" s="27" t="str">
        <f aca="false">IFERROR(INDEX($J$5:$J$18,MATCH(LARGE($S$5:$S$18,6),$S$5:$S$18,0)),"")</f>
        <v>C3 - Talent density</v>
      </c>
      <c r="D41" s="16" t="n">
        <f aca="false">IFERROR(INDEX($K$5:$K$18,MATCH(LARGE($S$5:$S$18,6),$S$5:$S$18,0)),"")</f>
        <v>66.5</v>
      </c>
      <c r="E41" s="18" t="n">
        <f aca="false">IFERROR(INDEX($P$5:$P$18,MATCH(LARGE($S$5:$S$18,6),$S$5:$S$18,0)),"")</f>
        <v>0.38310353465438</v>
      </c>
      <c r="F41" s="15" t="n">
        <f aca="false">IFERROR(INDEX($R$5:$R$18,MATCH(LARGE($S$5:$S$18,6),$S$5:$S$18,0)),"")</f>
        <v>0.198354569960312</v>
      </c>
    </row>
    <row r="42" customFormat="false" ht="42.75" hidden="false" customHeight="true" outlineLevel="0" collapsed="false">
      <c r="A42" s="8" t="s">
        <v>425</v>
      </c>
      <c r="B42" s="8"/>
      <c r="C42" s="8"/>
      <c r="D42" s="8"/>
      <c r="E42" s="8"/>
      <c r="F42" s="8"/>
    </row>
    <row r="44" customFormat="false" ht="15" hidden="false" customHeight="true" outlineLevel="0" collapsed="false">
      <c r="A44" s="7" t="s">
        <v>426</v>
      </c>
      <c r="B44" s="29" t="str">
        <f aca="false">IF(AND(ISNUMBER(B27),ISNUMBER(B28),ISNUMBER(B29)),IF(B27&lt;=B28,IF(B27&lt;=B29,"Capability",IF(B28&lt;=B29,"Motivation","Opportunity")),IF(B28&lt;=B29,"Motivation","Opportunity")),"")</f>
        <v>Opportunity</v>
      </c>
      <c r="C44" s="29"/>
    </row>
    <row r="45" customFormat="false" ht="30" hidden="false" customHeight="true" outlineLevel="0" collapsed="false">
      <c r="A45" s="7" t="s">
        <v>427</v>
      </c>
      <c r="B45" s="27" t="str">
        <f aca="false">IF(C36="","",C36&amp;" is the binding constraint, the highest-priority place a realistic improvement would lift P"&amp;IF(B44="","","; "&amp;B44&amp;" is the lowest-scoring force"))</f>
        <v>O3 - Process &amp; workflow is the binding constraint, the highest-priority place a realistic improvement would lift P; Opportunity is the lowest-scoring force</v>
      </c>
      <c r="C45" s="27"/>
      <c r="D45" s="27"/>
      <c r="E45" s="27"/>
      <c r="F45" s="27"/>
    </row>
    <row r="46" customFormat="false" ht="15" hidden="false" customHeight="true" outlineLevel="0" collapsed="false">
      <c r="A46" s="7" t="s">
        <v>428</v>
      </c>
      <c r="B46" s="27" t="str">
        <f aca="false">IF(OR('Motivation Inputs'!$D$52&lt;&gt;"",'Motivation Inputs'!$D$53&lt;&gt;"",'Motivation Inputs'!$D$54&lt;&gt;""),"CRITICAL trip-wire finding present - takes priority regardless of P","")</f>
        <v>CRITICAL trip-wire finding present - takes priority regardless of P</v>
      </c>
      <c r="C46" s="27"/>
      <c r="D46" s="27"/>
      <c r="E46" s="27"/>
      <c r="F46" s="27"/>
    </row>
    <row r="48" customFormat="false" ht="15" hidden="false" customHeight="true" outlineLevel="0" collapsed="false">
      <c r="A48" s="14" t="s">
        <v>429</v>
      </c>
      <c r="B48" s="14"/>
      <c r="C48" s="14"/>
      <c r="D48" s="14"/>
      <c r="E48" s="14"/>
      <c r="F48" s="14"/>
    </row>
    <row r="49" customFormat="false" ht="15" hidden="false" customHeight="true" outlineLevel="0" collapsed="false">
      <c r="A49" s="10" t="s">
        <v>430</v>
      </c>
      <c r="B49" s="6" t="str">
        <f aca="false">IF(ISNUMBER(B31),IF(AND(B31&gt;=0.85,B31&lt;=1.15),"OK","OUT OF RANGE"),"")</f>
        <v>OK</v>
      </c>
    </row>
    <row r="50" customFormat="false" ht="15" hidden="false" customHeight="true" outlineLevel="0" collapsed="false">
      <c r="A50" s="10" t="s">
        <v>431</v>
      </c>
      <c r="B50" s="6" t="str">
        <f aca="false">IF(ISNUMBER(B32),IF(AND(B32&gt;=45,B32&lt;=80),"OK","outside typical - cross-check"),"")</f>
        <v>OK</v>
      </c>
    </row>
    <row r="51" customFormat="false" ht="23.25" hidden="false" customHeight="true" outlineLevel="0" collapsed="false">
      <c r="A51" s="7" t="s">
        <v>432</v>
      </c>
      <c r="B51" s="29" t="str">
        <f aca="false">IF(MIN(IF('Tier Assignment'!$E$5="Low",1,IF('Tier Assignment'!$E$5="Medium",2,3)),IF('Tier Assignment'!$E$6="Low",1,IF('Tier Assignment'!$E$6="Medium",2,3)),IF('Tier Assignment'!$E$7="Low",1,IF('Tier Assignment'!$E$7="Medium",2,3)),IF('Tier Assignment'!$E$8="Low",1,IF('Tier Assignment'!$E$8="Medium",2,3)),IF('Tier Assignment'!$E$9="Low",1,IF('Tier Assignment'!$E$9="Medium",2,3)),IF('Tier Assignment'!$E$10="Low",1,IF('Tier Assignment'!$E$10="Medium",2,3)),IF('Tier Assignment'!$E$11="Low",1,IF('Tier Assignment'!$E$11="Medium",2,3)),IF('Tier Assignment'!$E$12="Low",1,IF('Tier Assignment'!$E$12="Medium",2,3)),IF('Tier Assignment'!$E$13="Low",1,IF('Tier Assignment'!$E$13="Medium",2,3)),IF('Tier Assignment'!$E$17="Low",1,IF('Tier Assignment'!$E$17="Medium",2,3)),IF('Tier Assignment'!$E$18="Low",1,IF('Tier Assignment'!$E$18="Medium",2,3)),IF('Tier Assignment'!$E$19="Low",1,IF('Tier Assignment'!$E$19="Medium",2,3)),IF('Tier Assignment'!$E$20="Low",1,IF('Tier Assignment'!$E$20="Medium",2,3)),IF('Tier Assignment'!$E$21="Low",1,IF('Tier Assignment'!$E$21="Medium",2,3)),IF('Tier Assignment'!$E$22="Low",1,IF('Tier Assignment'!$E$22="Medium",2,3)),IF('Tier Assignment'!$E$23="Low",1,IF('Tier Assignment'!$E$23="Medium",2,3)),IF('Tier Assignment'!$E$24="Low",1,IF('Tier Assignment'!$E$24="Medium",2,3)))=1,"Low",IF(MIN(IF('Tier Assignment'!$E$5="Low",1,IF('Tier Assignment'!$E$5="Medium",2,3)),IF('Tier Assignment'!$E$6="Low",1,IF('Tier Assignment'!$E$6="Medium",2,3)),IF('Tier Assignment'!$E$7="Low",1,IF('Tier Assignment'!$E$7="Medium",2,3)),IF('Tier Assignment'!$E$8="Low",1,IF('Tier Assignment'!$E$8="Medium",2,3)),IF('Tier Assignment'!$E$9="Low",1,IF('Tier Assignment'!$E$9="Medium",2,3)),IF('Tier Assignment'!$E$10="Low",1,IF('Tier Assignment'!$E$10="Medium",2,3)),IF('Tier Assignment'!$E$11="Low",1,IF('Tier Assignment'!$E$11="Medium",2,3)),IF('Tier Assignment'!$E$12="Low",1,IF('Tier Assignment'!$E$12="Medium",2,3)),IF('Tier Assignment'!$E$13="Low",1,IF('Tier Assignment'!$E$13="Medium",2,3)),IF('Tier Assignment'!$E$17="Low",1,IF('Tier Assignment'!$E$17="Medium",2,3)),IF('Tier Assignment'!$E$18="Low",1,IF('Tier Assignment'!$E$18="Medium",2,3)),IF('Tier Assignment'!$E$19="Low",1,IF('Tier Assignment'!$E$19="Medium",2,3)),IF('Tier Assignment'!$E$20="Low",1,IF('Tier Assignment'!$E$20="Medium",2,3)),IF('Tier Assignment'!$E$21="Low",1,IF('Tier Assignment'!$E$21="Medium",2,3)),IF('Tier Assignment'!$E$22="Low",1,IF('Tier Assignment'!$E$22="Medium",2,3)),IF('Tier Assignment'!$E$23="Low",1,IF('Tier Assignment'!$E$23="Medium",2,3)),IF('Tier Assignment'!$E$24="Low",1,IF('Tier Assignment'!$E$24="Medium",2,3)))=2,"Medium","High"))</f>
        <v>High</v>
      </c>
    </row>
  </sheetData>
  <sheetProtection sheet="true" formatCells="false"/>
  <mergeCells count="12">
    <mergeCell ref="A1:F1"/>
    <mergeCell ref="A2:F2"/>
    <mergeCell ref="A5:F5"/>
    <mergeCell ref="A11:F11"/>
    <mergeCell ref="A16:F16"/>
    <mergeCell ref="A22:F22"/>
    <mergeCell ref="A34:F34"/>
    <mergeCell ref="A42:F42"/>
    <mergeCell ref="B44:C44"/>
    <mergeCell ref="B45:F45"/>
    <mergeCell ref="B46:F46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"/>
    <col collapsed="false" customWidth="true" hidden="false" outlineLevel="0" max="3" min="3" style="1" width="56"/>
  </cols>
  <sheetData>
    <row r="1" customFormat="false" ht="19.5" hidden="false" customHeight="true" outlineLevel="0" collapsed="false">
      <c r="A1" s="2" t="s">
        <v>433</v>
      </c>
      <c r="B1" s="2"/>
      <c r="C1" s="2"/>
    </row>
    <row r="2" customFormat="false" ht="15" hidden="false" customHeight="true" outlineLevel="0" collapsed="false">
      <c r="A2" s="3" t="s">
        <v>434</v>
      </c>
      <c r="B2" s="3"/>
      <c r="C2" s="3"/>
    </row>
    <row r="4" customFormat="false" ht="15" hidden="false" customHeight="true" outlineLevel="0" collapsed="false">
      <c r="A4" s="14" t="s">
        <v>435</v>
      </c>
      <c r="B4" s="14"/>
      <c r="C4" s="14"/>
    </row>
    <row r="5" customFormat="false" ht="15" hidden="false" customHeight="true" outlineLevel="0" collapsed="false">
      <c r="A5" s="7" t="s">
        <v>436</v>
      </c>
      <c r="B5" s="7"/>
      <c r="C5" s="27" t="str">
        <f aca="false">'Engagement Metadata'!$D$11&amp;" - "&amp;'Engagement Metadata'!$D$12</f>
        <v>Northwind Mutual - Member Services</v>
      </c>
    </row>
    <row r="6" customFormat="false" ht="15" hidden="false" customHeight="true" outlineLevel="0" collapsed="false">
      <c r="A6" s="7" t="s">
        <v>14</v>
      </c>
      <c r="B6" s="7"/>
      <c r="C6" s="30" t="n">
        <f aca="false">'Engagement Metadata'!$D$13</f>
        <v>60</v>
      </c>
    </row>
    <row r="7" customFormat="false" ht="15" hidden="false" customHeight="true" outlineLevel="0" collapsed="false">
      <c r="A7" s="7" t="s">
        <v>437</v>
      </c>
      <c r="B7" s="7"/>
      <c r="C7" s="27" t="str">
        <f aca="false">'Engagement Metadata'!$D$18</f>
        <v>Default</v>
      </c>
    </row>
    <row r="8" customFormat="false" ht="15" hidden="false" customHeight="true" outlineLevel="0" collapsed="false">
      <c r="A8" s="7" t="s">
        <v>25</v>
      </c>
      <c r="B8" s="7"/>
      <c r="C8" s="31" t="n">
        <f aca="false">'Engagement Metadata'!$D$19</f>
        <v>46174</v>
      </c>
    </row>
    <row r="9" customFormat="false" ht="15" hidden="false" customHeight="true" outlineLevel="0" collapsed="false">
      <c r="A9" s="14" t="s">
        <v>438</v>
      </c>
      <c r="B9" s="14"/>
      <c r="C9" s="14"/>
    </row>
    <row r="10" customFormat="false" ht="15" hidden="false" customHeight="true" outlineLevel="0" collapsed="false">
      <c r="A10" s="7" t="s">
        <v>439</v>
      </c>
      <c r="B10" s="7"/>
      <c r="C10" s="30" t="n">
        <f aca="false">COUNTIF('Tier Assignment'!$B$5:$B$24,"Tier 1")</f>
        <v>7</v>
      </c>
    </row>
    <row r="11" customFormat="false" ht="15" hidden="false" customHeight="true" outlineLevel="0" collapsed="false">
      <c r="A11" s="7" t="s">
        <v>440</v>
      </c>
      <c r="B11" s="7"/>
      <c r="C11" s="30" t="n">
        <f aca="false">COUNTIF('Tier Assignment'!$B$5:$B$24,"Tier 2")</f>
        <v>0</v>
      </c>
    </row>
    <row r="12" customFormat="false" ht="15" hidden="false" customHeight="true" outlineLevel="0" collapsed="false">
      <c r="A12" s="7" t="s">
        <v>441</v>
      </c>
      <c r="B12" s="7"/>
      <c r="C12" s="30" t="n">
        <f aca="false">COUNTIF('Tier Assignment'!$B$5:$B$24,"Tier 3")</f>
        <v>13</v>
      </c>
    </row>
    <row r="13" customFormat="false" ht="15" hidden="false" customHeight="true" outlineLevel="0" collapsed="false">
      <c r="A13" s="7" t="s">
        <v>442</v>
      </c>
      <c r="B13" s="7"/>
      <c r="C13" s="27" t="str">
        <f aca="false">IF(COUNTIF('Tier Assignment'!$B$5:$B$24,"Tier 3")&gt;COUNTIF('Tier Assignment'!$B$5:$B$24,"Tier 1")+COUNTIF('Tier Assignment'!$B$5:$B$24,"Tier 2"),"Tier-3-dominant; methodology disclosed",IF(COUNTIF('Tier Assignment'!$B$5:$B$24,"Tier 1")&gt;=COUNTIF('Tier Assignment'!$B$5:$B$24,"Tier 2")+COUNTIF('Tier Assignment'!$B$5:$B$24,"Tier 3"),"Tier-1 dominant","Mixed"))</f>
        <v>Tier-3-dominant; methodology disclosed</v>
      </c>
    </row>
    <row r="14" customFormat="false" ht="15" hidden="false" customHeight="true" outlineLevel="0" collapsed="false">
      <c r="A14" s="14" t="s">
        <v>36</v>
      </c>
      <c r="B14" s="14"/>
      <c r="C14" s="14"/>
    </row>
    <row r="15" customFormat="false" ht="15" hidden="false" customHeight="true" outlineLevel="0" collapsed="false">
      <c r="A15" s="7" t="s">
        <v>443</v>
      </c>
      <c r="B15" s="7"/>
      <c r="C15" s="27" t="str">
        <f aca="false">'Composite Scoring'!$B$51</f>
        <v>High</v>
      </c>
    </row>
    <row r="16" customFormat="false" ht="15" hidden="false" customHeight="true" outlineLevel="0" collapsed="false">
      <c r="A16" s="14" t="s">
        <v>444</v>
      </c>
      <c r="B16" s="14"/>
      <c r="C16" s="14"/>
    </row>
    <row r="17" customFormat="false" ht="15" hidden="false" customHeight="true" outlineLevel="0" collapsed="false">
      <c r="A17" s="7" t="s">
        <v>445</v>
      </c>
      <c r="B17" s="7"/>
      <c r="C17" s="27" t="str">
        <f aca="false">IF('Behavioural Triangulators'!$C$11="","none",'Behavioural Triangulators'!$C$11)</f>
        <v>none</v>
      </c>
    </row>
    <row r="18" customFormat="false" ht="15" hidden="false" customHeight="true" outlineLevel="0" collapsed="false">
      <c r="A18" s="7" t="s">
        <v>446</v>
      </c>
      <c r="B18" s="7"/>
      <c r="C18" s="27" t="str">
        <f aca="false">IF('Synergy Inputs'!$D$37="","none",'Synergy Inputs'!$D$37)</f>
        <v>none</v>
      </c>
    </row>
    <row r="19" customFormat="false" ht="15" hidden="false" customHeight="true" outlineLevel="0" collapsed="false">
      <c r="A19" s="7" t="s">
        <v>447</v>
      </c>
      <c r="B19" s="7"/>
      <c r="C19" s="27" t="str">
        <f aca="false">IF('Synergy Inputs'!$D$25="","none",'Synergy Inputs'!$D$25)</f>
        <v>GAP - diagnostic finding</v>
      </c>
    </row>
    <row r="20" customFormat="false" ht="15" hidden="false" customHeight="true" outlineLevel="0" collapsed="false">
      <c r="A20" s="7" t="s">
        <v>448</v>
      </c>
      <c r="B20" s="7"/>
      <c r="C20" s="27" t="str">
        <f aca="false">IF('Opportunity Inputs'!$D$22="","none",'Opportunity Inputs'!$D$22)</f>
        <v>none</v>
      </c>
    </row>
    <row r="21" customFormat="false" ht="15" hidden="false" customHeight="true" outlineLevel="0" collapsed="false">
      <c r="A21" s="7" t="s">
        <v>449</v>
      </c>
      <c r="B21" s="7"/>
      <c r="C21" s="27" t="str">
        <f aca="false">IF('Opportunity Inputs'!$D$39="","none",'Opportunity Inputs'!$D$39)</f>
        <v>none</v>
      </c>
    </row>
    <row r="22" customFormat="false" ht="15" hidden="false" customHeight="true" outlineLevel="0" collapsed="false">
      <c r="A22" s="7" t="s">
        <v>450</v>
      </c>
      <c r="B22" s="7"/>
      <c r="C22" s="27" t="str">
        <f aca="false">IF('Opportunity Inputs'!$D$55="","none",'Opportunity Inputs'!$D$55)</f>
        <v>none</v>
      </c>
    </row>
    <row r="23" customFormat="false" ht="15" hidden="false" customHeight="true" outlineLevel="0" collapsed="false">
      <c r="A23" s="14" t="s">
        <v>451</v>
      </c>
      <c r="B23" s="14"/>
      <c r="C23" s="14"/>
    </row>
    <row r="24" customFormat="false" ht="15" hidden="false" customHeight="true" outlineLevel="0" collapsed="false">
      <c r="A24" s="7" t="s">
        <v>452</v>
      </c>
      <c r="B24" s="7"/>
      <c r="C24" s="27" t="str">
        <f aca="false">IF((IF('Motivation Inputs'!D52&lt;&gt;"","Pay equity trip-wire breached; ","")&amp;IF('Motivation Inputs'!D53&lt;&gt;"","Fairness trip-wire breached; ","")&amp;IF('Motivation Inputs'!D54&lt;&gt;"","Basic conditions trip-wire breached; ","")&amp;IF(AND(ISNUMBER(DLP!B52),DLP!B52&lt;50),"Decision latency critical (overall DLS below 50); ",""))="","No critical findings identified",LEFT((IF('Motivation Inputs'!D52&lt;&gt;"","Pay equity trip-wire breached; ","")&amp;IF('Motivation Inputs'!D53&lt;&gt;"","Fairness trip-wire breached; ","")&amp;IF('Motivation Inputs'!D54&lt;&gt;"","Basic conditions trip-wire breached; ","")&amp;IF(AND(ISNUMBER(DLP!B52),DLP!B52&lt;50),"Decision latency critical (overall DLS below 50); ","")),LEN((IF('Motivation Inputs'!D52&lt;&gt;"","Pay equity trip-wire breached; ","")&amp;IF('Motivation Inputs'!D53&lt;&gt;"","Fairness trip-wire breached; ","")&amp;IF('Motivation Inputs'!D54&lt;&gt;"","Basic conditions trip-wire breached; ","")&amp;IF(AND(ISNUMBER(DLP!B52),DLP!B52&lt;50),"Decision latency critical (overall DLS below 50); ","")))-2))</f>
        <v>Basic conditions trip-wire breached</v>
      </c>
    </row>
    <row r="25" customFormat="false" ht="15" hidden="false" customHeight="true" outlineLevel="0" collapsed="false">
      <c r="A25" s="7" t="s">
        <v>453</v>
      </c>
      <c r="B25" s="7"/>
      <c r="C25" s="27" t="str">
        <f aca="false">"No comparison applied - set not yet large enough"</f>
        <v>No comparison applied - set not yet large enough</v>
      </c>
    </row>
    <row r="28" customFormat="false" ht="15" hidden="false" customHeight="true" outlineLevel="0" collapsed="false">
      <c r="A28" s="24" t="s">
        <v>454</v>
      </c>
    </row>
    <row r="29" customFormat="false" ht="15" hidden="false" customHeight="true" outlineLevel="0" collapsed="false">
      <c r="A29" s="32" t="s">
        <v>47</v>
      </c>
      <c r="C29" s="33" t="n">
        <f aca="false">'Capability Inputs'!B52</f>
        <v>0.78</v>
      </c>
    </row>
    <row r="30" customFormat="false" ht="15" hidden="false" customHeight="true" outlineLevel="0" collapsed="false">
      <c r="A30" s="32" t="s">
        <v>53</v>
      </c>
      <c r="C30" s="33" t="n">
        <f aca="false">'Motivation Inputs'!B16</f>
        <v>0.78</v>
      </c>
    </row>
    <row r="31" customFormat="false" ht="15" hidden="false" customHeight="true" outlineLevel="0" collapsed="false">
      <c r="A31" s="32" t="s">
        <v>55</v>
      </c>
      <c r="C31" s="33" t="n">
        <f aca="false">'Motivation Inputs'!B28</f>
        <v>0.78</v>
      </c>
    </row>
    <row r="32" customFormat="false" ht="15" hidden="false" customHeight="true" outlineLevel="0" collapsed="false">
      <c r="A32" s="32" t="s">
        <v>57</v>
      </c>
      <c r="C32" s="33" t="n">
        <f aca="false">'Motivation Inputs'!B38</f>
        <v>0.76</v>
      </c>
    </row>
    <row r="33" customFormat="false" ht="15" hidden="false" customHeight="true" outlineLevel="0" collapsed="false">
      <c r="A33" s="32" t="s">
        <v>59</v>
      </c>
      <c r="C33" s="33" t="n">
        <f aca="false">'Motivation Inputs'!B47</f>
        <v>0.76</v>
      </c>
    </row>
    <row r="34" customFormat="false" ht="15" hidden="false" customHeight="true" outlineLevel="0" collapsed="false">
      <c r="A34" s="32" t="s">
        <v>66</v>
      </c>
      <c r="C34" s="33" t="n">
        <f aca="false">'Opportunity Inputs'!B19</f>
        <v>0.8</v>
      </c>
    </row>
    <row r="35" customFormat="false" ht="15" hidden="false" customHeight="true" outlineLevel="0" collapsed="false">
      <c r="A35" s="32" t="s">
        <v>69</v>
      </c>
      <c r="C35" s="33" t="n">
        <f aca="false">'Opportunity Inputs'!B36</f>
        <v>0.82</v>
      </c>
    </row>
    <row r="36" customFormat="false" ht="15" hidden="false" customHeight="true" outlineLevel="0" collapsed="false">
      <c r="A36" s="32" t="s">
        <v>71</v>
      </c>
      <c r="C36" s="33" t="n">
        <f aca="false">'Opportunity Inputs'!B52</f>
        <v>0.83</v>
      </c>
    </row>
    <row r="37" customFormat="false" ht="15" hidden="false" customHeight="true" outlineLevel="0" collapsed="false">
      <c r="A37" s="32" t="s">
        <v>73</v>
      </c>
      <c r="C37" s="33" t="n">
        <f aca="false">'Opportunity Inputs'!B65</f>
        <v>0.8</v>
      </c>
    </row>
    <row r="38" customFormat="false" ht="15" hidden="false" customHeight="true" outlineLevel="0" collapsed="false">
      <c r="A38" s="32" t="s">
        <v>81</v>
      </c>
      <c r="C38" s="33" t="n">
        <f aca="false">'Synergy Inputs'!B22</f>
        <v>0.82</v>
      </c>
    </row>
    <row r="39" customFormat="false" ht="15" hidden="false" customHeight="true" outlineLevel="0" collapsed="false">
      <c r="A39" s="32" t="s">
        <v>84</v>
      </c>
      <c r="C39" s="33" t="n">
        <f aca="false">'Synergy Inputs'!B35</f>
        <v>0.8</v>
      </c>
    </row>
    <row r="41" customFormat="false" ht="15" hidden="false" customHeight="true" outlineLevel="0" collapsed="false">
      <c r="A41" s="24" t="s">
        <v>455</v>
      </c>
      <c r="C41" s="1" t="str">
        <f aca="false">IF(COUNTIF('Tier Assignment'!B5:B25,"Insufficient data")=0,"No sub-dimensions suppressed; full weight set applied; no responses excluded beyond validity screening","Sub-dimensions suppressed for insufficient data: "&amp;COUNTIF('Tier Assignment'!B5:B25,"Insufficient data")&amp;" (weights reallocated proportionally; see Tier Assignment)")</f>
        <v>No sub-dimensions suppressed; full weight set applied; no responses excluded beyond validity screening</v>
      </c>
    </row>
    <row r="43" customFormat="false" ht="15" hidden="false" customHeight="true" outlineLevel="0" collapsed="false">
      <c r="A43" s="24" t="s">
        <v>456</v>
      </c>
      <c r="C43" s="1" t="str">
        <f aca="false">IF('Analyst Evidence'!C13="","None recorded",'Analyst Evidence'!C13)</f>
        <v>None recorded</v>
      </c>
    </row>
  </sheetData>
  <sheetProtection sheet="true" formatCells="false"/>
  <mergeCells count="24">
    <mergeCell ref="A1:C1"/>
    <mergeCell ref="A2:C2"/>
    <mergeCell ref="A4:C4"/>
    <mergeCell ref="A5:B5"/>
    <mergeCell ref="A6:B6"/>
    <mergeCell ref="A7:B7"/>
    <mergeCell ref="A8:B8"/>
    <mergeCell ref="A9:C9"/>
    <mergeCell ref="A10:B10"/>
    <mergeCell ref="A11:B11"/>
    <mergeCell ref="A12:B12"/>
    <mergeCell ref="A13:B13"/>
    <mergeCell ref="A14:C14"/>
    <mergeCell ref="A15:B15"/>
    <mergeCell ref="A16:C16"/>
    <mergeCell ref="A17:B17"/>
    <mergeCell ref="A18:B18"/>
    <mergeCell ref="A19:B19"/>
    <mergeCell ref="A20:B20"/>
    <mergeCell ref="A21:B21"/>
    <mergeCell ref="A22:B22"/>
    <mergeCell ref="A23:C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"/>
    <col collapsed="false" customWidth="true" hidden="false" outlineLevel="0" max="3" min="3" style="1" width="40"/>
  </cols>
  <sheetData>
    <row r="1" customFormat="false" ht="19.5" hidden="false" customHeight="true" outlineLevel="0" collapsed="false">
      <c r="A1" s="2" t="s">
        <v>457</v>
      </c>
      <c r="B1" s="2"/>
      <c r="C1" s="2"/>
    </row>
    <row r="2" customFormat="false" ht="26.25" hidden="false" customHeight="true" outlineLevel="0" collapsed="false">
      <c r="A2" s="3" t="s">
        <v>458</v>
      </c>
      <c r="B2" s="3"/>
      <c r="C2" s="3"/>
    </row>
    <row r="4" customFormat="false" ht="15" hidden="false" customHeight="true" outlineLevel="0" collapsed="false">
      <c r="A4" s="14" t="s">
        <v>459</v>
      </c>
      <c r="B4" s="14"/>
      <c r="C4" s="14"/>
      <c r="D4" s="24" t="s">
        <v>122</v>
      </c>
    </row>
    <row r="5" customFormat="false" ht="15" hidden="false" customHeight="true" outlineLevel="0" collapsed="false">
      <c r="A5" s="7" t="s">
        <v>418</v>
      </c>
      <c r="B5" s="7"/>
      <c r="C5" s="16" t="n">
        <f aca="false">'Composite Scoring'!$B$32</f>
        <v>72.3139293565219</v>
      </c>
      <c r="D5" s="1" t="str">
        <f aca="false">IF(NOT(ISNUMBER(C5)),"Neutral",IF(C5&gt;75,"Green",IF(C5&gt;=50,"Amber","Red")))</f>
        <v>Amber</v>
      </c>
    </row>
    <row r="6" customFormat="false" ht="15" hidden="false" customHeight="true" outlineLevel="0" collapsed="false">
      <c r="A6" s="7" t="s">
        <v>460</v>
      </c>
      <c r="B6" s="7"/>
      <c r="C6" s="27" t="str">
        <f aca="false">'Composite Scoring'!$B$51</f>
        <v>High</v>
      </c>
    </row>
    <row r="7" customFormat="false" ht="15" hidden="false" customHeight="true" outlineLevel="0" collapsed="false">
      <c r="A7" s="7" t="s">
        <v>413</v>
      </c>
      <c r="B7" s="7"/>
      <c r="C7" s="16" t="n">
        <f aca="false">'Composite Scoring'!$B$27</f>
        <v>72.9730317460318</v>
      </c>
      <c r="D7" s="1" t="str">
        <f aca="false">IF(NOT(ISNUMBER(C7)),"Neutral",IF(C7&gt;75,"Green",IF(C7&gt;=50,"Amber","Red")))</f>
        <v>Amber</v>
      </c>
    </row>
    <row r="8" customFormat="false" ht="15" hidden="false" customHeight="true" outlineLevel="0" collapsed="false">
      <c r="A8" s="7" t="s">
        <v>414</v>
      </c>
      <c r="B8" s="7"/>
      <c r="C8" s="16" t="n">
        <f aca="false">'Composite Scoring'!$B$28</f>
        <v>70.05</v>
      </c>
      <c r="D8" s="1" t="str">
        <f aca="false">IF(NOT(ISNUMBER(C8)),"Neutral",IF(C8&gt;75,"Green",IF(C8&gt;=50,"Amber","Red")))</f>
        <v>Amber</v>
      </c>
    </row>
    <row r="9" customFormat="false" ht="15" hidden="false" customHeight="true" outlineLevel="0" collapsed="false">
      <c r="A9" s="7" t="s">
        <v>415</v>
      </c>
      <c r="B9" s="7"/>
      <c r="C9" s="16" t="n">
        <f aca="false">'Composite Scoring'!$B$29</f>
        <v>61.3809375</v>
      </c>
      <c r="D9" s="1" t="str">
        <f aca="false">IF(NOT(ISNUMBER(C9)),"Neutral",IF(C9&gt;75,"Green",IF(C9&gt;=50,"Amber","Red")))</f>
        <v>Amber</v>
      </c>
    </row>
    <row r="10" customFormat="false" ht="15" hidden="false" customHeight="true" outlineLevel="0" collapsed="false">
      <c r="A10" s="7" t="s">
        <v>461</v>
      </c>
      <c r="B10" s="7"/>
      <c r="C10" s="15" t="n">
        <f aca="false">'Composite Scoring'!$B$31</f>
        <v>1.051825</v>
      </c>
    </row>
    <row r="11" customFormat="false" ht="45.75" hidden="false" customHeight="true" outlineLevel="0" collapsed="false">
      <c r="A11" s="7" t="s">
        <v>462</v>
      </c>
      <c r="B11" s="7"/>
      <c r="C11" s="27" t="str">
        <f aca="false">'Composite Scoring'!$B$45</f>
        <v>O3 - Process &amp; workflow is the binding constraint, the highest-priority place a realistic improvement would lift P; Opportunity is the lowest-scoring force</v>
      </c>
    </row>
    <row r="12" customFormat="false" ht="23.25" hidden="false" customHeight="true" outlineLevel="0" collapsed="false">
      <c r="A12" s="7" t="s">
        <v>428</v>
      </c>
      <c r="B12" s="7"/>
      <c r="C12" s="27" t="str">
        <f aca="false">IF('Composite Scoring'!$B$46="","none",'Composite Scoring'!$B$46)</f>
        <v>CRITICAL trip-wire finding present - takes priority regardless of P</v>
      </c>
    </row>
    <row r="13" customFormat="false" ht="15" hidden="false" customHeight="true" outlineLevel="0" collapsed="false">
      <c r="A13" s="14" t="s">
        <v>463</v>
      </c>
      <c r="B13" s="14"/>
      <c r="C13" s="14"/>
      <c r="D13" s="24" t="s">
        <v>122</v>
      </c>
      <c r="E13" s="24" t="s">
        <v>36</v>
      </c>
    </row>
    <row r="14" customFormat="false" ht="15" hidden="false" customHeight="true" outlineLevel="0" collapsed="false">
      <c r="A14" s="7" t="s">
        <v>393</v>
      </c>
      <c r="B14" s="7"/>
      <c r="C14" s="16" t="n">
        <f aca="false">'Capability Inputs'!$D$15</f>
        <v>76.1111111111111</v>
      </c>
      <c r="D14" s="1" t="str">
        <f aca="false">IF(NOT(ISNUMBER(C14)),"Neutral",IF(C14&gt;75,"Green",IF(C14&gt;=50,"Amber","Red")))</f>
        <v>Green</v>
      </c>
      <c r="E14" s="1" t="str">
        <f aca="false">'Tier Assignment'!E5</f>
        <v>High</v>
      </c>
    </row>
    <row r="15" customFormat="false" ht="15" hidden="false" customHeight="true" outlineLevel="0" collapsed="false">
      <c r="A15" s="7" t="s">
        <v>394</v>
      </c>
      <c r="B15" s="7"/>
      <c r="C15" s="16" t="n">
        <f aca="false">'Capability Inputs'!$D$24</f>
        <v>73.7942857142857</v>
      </c>
      <c r="D15" s="1" t="str">
        <f aca="false">IF(NOT(ISNUMBER(C15)),"Neutral",IF(C15&gt;75,"Green",IF(C15&gt;=50,"Amber","Red")))</f>
        <v>Amber</v>
      </c>
      <c r="E15" s="1" t="str">
        <f aca="false">'Tier Assignment'!E6</f>
        <v>High</v>
      </c>
    </row>
    <row r="16" customFormat="false" ht="15" hidden="false" customHeight="true" outlineLevel="0" collapsed="false">
      <c r="A16" s="7" t="s">
        <v>395</v>
      </c>
      <c r="B16" s="7"/>
      <c r="C16" s="16" t="n">
        <f aca="false">'Capability Inputs'!$D$33</f>
        <v>66.5</v>
      </c>
      <c r="D16" s="1" t="str">
        <f aca="false">IF(NOT(ISNUMBER(C16)),"Neutral",IF(C16&gt;75,"Green",IF(C16&gt;=50,"Amber","Red")))</f>
        <v>Amber</v>
      </c>
      <c r="E16" s="1" t="str">
        <f aca="false">'Tier Assignment'!E7</f>
        <v>High</v>
      </c>
    </row>
    <row r="17" customFormat="false" ht="15" hidden="false" customHeight="true" outlineLevel="0" collapsed="false">
      <c r="A17" s="7" t="s">
        <v>396</v>
      </c>
      <c r="B17" s="7"/>
      <c r="C17" s="16" t="n">
        <f aca="false">'Capability Inputs'!$D$56</f>
        <v>70.325</v>
      </c>
      <c r="D17" s="1" t="str">
        <f aca="false">IF(NOT(ISNUMBER(C17)),"Neutral",IF(C17&gt;75,"Green",IF(C17&gt;=50,"Amber","Red")))</f>
        <v>Amber</v>
      </c>
      <c r="E17" s="1" t="str">
        <f aca="false">'Tier Assignment'!E8</f>
        <v>High</v>
      </c>
    </row>
    <row r="18" customFormat="false" ht="15" hidden="false" customHeight="true" outlineLevel="0" collapsed="false">
      <c r="A18" s="7" t="s">
        <v>397</v>
      </c>
      <c r="B18" s="7"/>
      <c r="C18" s="16" t="n">
        <f aca="false">'Capability Inputs'!$D$63</f>
        <v>79</v>
      </c>
      <c r="D18" s="1" t="str">
        <f aca="false">IF(NOT(ISNUMBER(C18)),"Neutral",IF(C18&gt;75,"Green",IF(C18&gt;=50,"Amber","Red")))</f>
        <v>Green</v>
      </c>
      <c r="E18" s="1" t="str">
        <f aca="false">'Tier Assignment'!E9</f>
        <v>High</v>
      </c>
    </row>
    <row r="19" customFormat="false" ht="15" hidden="false" customHeight="true" outlineLevel="0" collapsed="false">
      <c r="A19" s="7" t="s">
        <v>399</v>
      </c>
      <c r="B19" s="7"/>
      <c r="C19" s="16" t="n">
        <f aca="false">'Motivation Inputs'!$D$19</f>
        <v>72</v>
      </c>
      <c r="D19" s="1" t="str">
        <f aca="false">IF(NOT(ISNUMBER(C19)),"Neutral",IF(C19&gt;75,"Green",IF(C19&gt;=50,"Amber","Red")))</f>
        <v>Amber</v>
      </c>
      <c r="E19" s="1" t="str">
        <f aca="false">'Tier Assignment'!E10</f>
        <v>High</v>
      </c>
    </row>
    <row r="20" customFormat="false" ht="15" hidden="false" customHeight="true" outlineLevel="0" collapsed="false">
      <c r="A20" s="7" t="s">
        <v>400</v>
      </c>
      <c r="B20" s="7"/>
      <c r="C20" s="16" t="n">
        <f aca="false">'Motivation Inputs'!$D$29</f>
        <v>75</v>
      </c>
      <c r="D20" s="1" t="str">
        <f aca="false">IF(NOT(ISNUMBER(C20)),"Neutral",IF(C20&gt;75,"Green",IF(C20&gt;=50,"Amber","Red")))</f>
        <v>Amber</v>
      </c>
      <c r="E20" s="1" t="str">
        <f aca="false">'Tier Assignment'!E11</f>
        <v>High</v>
      </c>
    </row>
    <row r="21" customFormat="false" ht="15" hidden="false" customHeight="true" outlineLevel="0" collapsed="false">
      <c r="A21" s="7" t="s">
        <v>401</v>
      </c>
      <c r="B21" s="7"/>
      <c r="C21" s="16" t="n">
        <f aca="false">'Motivation Inputs'!$D$39</f>
        <v>67</v>
      </c>
      <c r="D21" s="1" t="str">
        <f aca="false">IF(NOT(ISNUMBER(C21)),"Neutral",IF(C21&gt;75,"Green",IF(C21&gt;=50,"Amber","Red")))</f>
        <v>Amber</v>
      </c>
      <c r="E21" s="1" t="str">
        <f aca="false">'Tier Assignment'!E12</f>
        <v>High</v>
      </c>
    </row>
    <row r="22" customFormat="false" ht="15" hidden="false" customHeight="true" outlineLevel="0" collapsed="false">
      <c r="A22" s="7" t="s">
        <v>402</v>
      </c>
      <c r="B22" s="7"/>
      <c r="C22" s="16" t="n">
        <f aca="false">'Motivation Inputs'!$D$48</f>
        <v>60</v>
      </c>
      <c r="D22" s="1" t="str">
        <f aca="false">IF(NOT(ISNUMBER(C22)),"Neutral",IF(C22&gt;75,"Green",IF(C22&gt;=50,"Amber","Red")))</f>
        <v>Amber</v>
      </c>
      <c r="E22" s="1" t="str">
        <f aca="false">'Tier Assignment'!E13</f>
        <v>High</v>
      </c>
    </row>
    <row r="23" customFormat="false" ht="15" hidden="false" customHeight="true" outlineLevel="0" collapsed="false">
      <c r="A23" s="7" t="s">
        <v>404</v>
      </c>
      <c r="B23" s="7"/>
      <c r="C23" s="16" t="n">
        <f aca="false">'Opportunity Inputs'!$D$23</f>
        <v>61.228125</v>
      </c>
      <c r="D23" s="1" t="str">
        <f aca="false">IF(NOT(ISNUMBER(C23)),"Neutral",IF(C23&gt;75,"Green",IF(C23&gt;=50,"Amber","Red")))</f>
        <v>Amber</v>
      </c>
      <c r="E23" s="1" t="str">
        <f aca="false">'Tier Assignment'!E17</f>
        <v>High</v>
      </c>
    </row>
    <row r="24" customFormat="false" ht="15" hidden="false" customHeight="true" outlineLevel="0" collapsed="false">
      <c r="A24" s="7" t="s">
        <v>405</v>
      </c>
      <c r="B24" s="7"/>
      <c r="C24" s="16" t="n">
        <f aca="false">'Opportunity Inputs'!$D$40</f>
        <v>69.25</v>
      </c>
      <c r="D24" s="1" t="str">
        <f aca="false">IF(NOT(ISNUMBER(C24)),"Neutral",IF(C24&gt;75,"Green",IF(C24&gt;=50,"Amber","Red")))</f>
        <v>Amber</v>
      </c>
      <c r="E24" s="1" t="str">
        <f aca="false">'Tier Assignment'!E18</f>
        <v>High</v>
      </c>
    </row>
    <row r="25" customFormat="false" ht="15" hidden="false" customHeight="true" outlineLevel="0" collapsed="false">
      <c r="A25" s="7" t="s">
        <v>406</v>
      </c>
      <c r="B25" s="7"/>
      <c r="C25" s="16" t="n">
        <f aca="false">'Opportunity Inputs'!$D$56</f>
        <v>55.25</v>
      </c>
      <c r="D25" s="1" t="str">
        <f aca="false">IF(NOT(ISNUMBER(C25)),"Neutral",IF(C25&gt;75,"Green",IF(C25&gt;=50,"Amber","Red")))</f>
        <v>Amber</v>
      </c>
      <c r="E25" s="1" t="str">
        <f aca="false">'Tier Assignment'!E19</f>
        <v>High</v>
      </c>
    </row>
    <row r="26" customFormat="false" ht="15" hidden="false" customHeight="true" outlineLevel="0" collapsed="false">
      <c r="A26" s="7" t="s">
        <v>407</v>
      </c>
      <c r="B26" s="7"/>
      <c r="C26" s="16" t="n">
        <f aca="false">'Opportunity Inputs'!$D$67</f>
        <v>47.5</v>
      </c>
      <c r="D26" s="1" t="str">
        <f aca="false">IF(NOT(ISNUMBER(C26)),"Neutral",IF(C26&gt;75,"Green",IF(C26&gt;=50,"Amber","Red")))</f>
        <v>Red</v>
      </c>
      <c r="E26" s="1" t="str">
        <f aca="false">'Tier Assignment'!E20</f>
        <v>High</v>
      </c>
    </row>
    <row r="27" customFormat="false" ht="15" hidden="false" customHeight="true" outlineLevel="0" collapsed="false">
      <c r="A27" s="7" t="s">
        <v>408</v>
      </c>
      <c r="B27" s="7"/>
      <c r="C27" s="16" t="n">
        <f aca="false">'Opportunity Inputs'!$D$75</f>
        <v>66</v>
      </c>
      <c r="D27" s="1" t="str">
        <f aca="false">IF(NOT(ISNUMBER(C27)),"Neutral",IF(C27&gt;75,"Green",IF(C27&gt;=50,"Amber","Red")))</f>
        <v>Amber</v>
      </c>
      <c r="E27" s="1" t="str">
        <f aca="false">'Tier Assignment'!E21</f>
        <v>High</v>
      </c>
    </row>
    <row r="28" customFormat="false" ht="15" hidden="false" customHeight="true" outlineLevel="0" collapsed="false">
      <c r="A28" s="7" t="s">
        <v>410</v>
      </c>
      <c r="B28" s="7"/>
      <c r="C28" s="16" t="n">
        <f aca="false">'Synergy Inputs'!$D$8</f>
        <v>85.75</v>
      </c>
      <c r="D28" s="1" t="str">
        <f aca="false">IF(NOT(ISNUMBER(C28)),"Neutral",IF(C28&gt;75,"Green",IF(C28&gt;=50,"Amber","Red")))</f>
        <v>Green</v>
      </c>
      <c r="E28" s="1" t="str">
        <f aca="false">'Tier Assignment'!E22</f>
        <v>High</v>
      </c>
    </row>
    <row r="29" customFormat="false" ht="15" hidden="false" customHeight="true" outlineLevel="0" collapsed="false">
      <c r="A29" s="7" t="s">
        <v>411</v>
      </c>
      <c r="B29" s="7"/>
      <c r="C29" s="16" t="n">
        <f aca="false">'Synergy Inputs'!$D$26</f>
        <v>54.375</v>
      </c>
      <c r="D29" s="1" t="str">
        <f aca="false">IF(NOT(ISNUMBER(C29)),"Neutral",IF(C29&gt;75,"Green",IF(C29&gt;=50,"Amber","Red")))</f>
        <v>Amber</v>
      </c>
      <c r="E29" s="1" t="str">
        <f aca="false">'Tier Assignment'!E23</f>
        <v>High</v>
      </c>
    </row>
    <row r="30" customFormat="false" ht="15" hidden="false" customHeight="true" outlineLevel="0" collapsed="false">
      <c r="A30" s="7" t="s">
        <v>412</v>
      </c>
      <c r="B30" s="7"/>
      <c r="C30" s="16" t="n">
        <f aca="false">'Synergy Inputs'!$D$36</f>
        <v>66</v>
      </c>
      <c r="D30" s="1" t="str">
        <f aca="false">IF(NOT(ISNUMBER(C30)),"Neutral",IF(C30&gt;75,"Green",IF(C30&gt;=50,"Amber","Red")))</f>
        <v>Amber</v>
      </c>
      <c r="E30" s="1" t="str">
        <f aca="false">'Tier Assignment'!E24</f>
        <v>High</v>
      </c>
    </row>
    <row r="31" customFormat="false" ht="15" hidden="false" customHeight="true" outlineLevel="0" collapsed="false">
      <c r="A31" s="14" t="s">
        <v>464</v>
      </c>
      <c r="B31" s="14"/>
      <c r="C31" s="14"/>
    </row>
    <row r="32" customFormat="false" ht="15" hidden="false" customHeight="true" outlineLevel="0" collapsed="false">
      <c r="A32" s="7" t="s">
        <v>465</v>
      </c>
      <c r="B32" s="7"/>
      <c r="C32" s="16" t="n">
        <f aca="false">DLP!$B$52</f>
        <v>60.814445970696</v>
      </c>
    </row>
    <row r="33" customFormat="false" ht="15" hidden="false" customHeight="true" outlineLevel="0" collapsed="false">
      <c r="A33" s="7" t="s">
        <v>466</v>
      </c>
      <c r="B33" s="7"/>
      <c r="C33" s="16" t="n">
        <f aca="false">DLP!$B$49</f>
        <v>62.7232142857143</v>
      </c>
    </row>
    <row r="34" customFormat="false" ht="15" hidden="false" customHeight="true" outlineLevel="0" collapsed="false">
      <c r="A34" s="7" t="s">
        <v>467</v>
      </c>
      <c r="B34" s="7"/>
      <c r="C34" s="16" t="n">
        <f aca="false">DLP!$B$50</f>
        <v>62.6373626373626</v>
      </c>
    </row>
    <row r="35" customFormat="false" ht="15" hidden="false" customHeight="true" outlineLevel="0" collapsed="false">
      <c r="A35" s="7" t="s">
        <v>468</v>
      </c>
      <c r="B35" s="7"/>
      <c r="C35" s="16" t="n">
        <f aca="false">DLP!$B$51</f>
        <v>55.2083333333333</v>
      </c>
    </row>
    <row r="36" customFormat="false" ht="15" hidden="false" customHeight="true" outlineLevel="0" collapsed="false">
      <c r="A36" s="14" t="s">
        <v>469</v>
      </c>
      <c r="B36" s="14"/>
      <c r="C36" s="14"/>
      <c r="D36" s="24" t="s">
        <v>202</v>
      </c>
    </row>
    <row r="37" customFormat="false" ht="15" hidden="false" customHeight="true" outlineLevel="0" collapsed="false">
      <c r="A37" s="7" t="s">
        <v>470</v>
      </c>
      <c r="B37" s="7"/>
      <c r="C37" s="16" t="n">
        <f aca="false">'Motivation Inputs'!$C$52</f>
        <v>72</v>
      </c>
      <c r="D37" s="1" t="str">
        <f aca="false">'Motivation Inputs'!D52</f>
        <v/>
      </c>
    </row>
    <row r="38" customFormat="false" ht="15" hidden="false" customHeight="true" outlineLevel="0" collapsed="false">
      <c r="A38" s="7" t="s">
        <v>471</v>
      </c>
      <c r="B38" s="7"/>
      <c r="C38" s="16" t="n">
        <f aca="false">'Motivation Inputs'!$C$53</f>
        <v>78</v>
      </c>
      <c r="D38" s="1" t="str">
        <f aca="false">'Motivation Inputs'!D53</f>
        <v/>
      </c>
    </row>
    <row r="39" customFormat="false" ht="15" hidden="false" customHeight="true" outlineLevel="0" collapsed="false">
      <c r="A39" s="7" t="s">
        <v>472</v>
      </c>
      <c r="B39" s="7"/>
      <c r="C39" s="16" t="n">
        <f aca="false">'Motivation Inputs'!$C$54</f>
        <v>58</v>
      </c>
      <c r="D39" s="1" t="str">
        <f aca="false">'Motivation Inputs'!D54</f>
        <v>CRITICAL FINDING</v>
      </c>
    </row>
    <row r="41" customFormat="false" ht="15" hidden="false" customHeight="true" outlineLevel="0" collapsed="false">
      <c r="A41" s="24" t="s">
        <v>473</v>
      </c>
    </row>
    <row r="42" customFormat="false" ht="15" hidden="false" customHeight="true" outlineLevel="0" collapsed="false">
      <c r="A42" s="32" t="s">
        <v>474</v>
      </c>
      <c r="C42" s="34" t="n">
        <f aca="false">'Composite Scoring'!B30</f>
        <v>67.275</v>
      </c>
    </row>
    <row r="44" customFormat="false" ht="15" hidden="false" customHeight="true" outlineLevel="0" collapsed="false">
      <c r="A44" s="24" t="s">
        <v>475</v>
      </c>
    </row>
    <row r="45" customFormat="false" ht="15" hidden="false" customHeight="true" outlineLevel="0" collapsed="false">
      <c r="A45" s="32" t="s">
        <v>153</v>
      </c>
      <c r="C45" s="34" t="n">
        <f aca="false">'Capability Inputs'!B53</f>
        <v>71.75</v>
      </c>
    </row>
    <row r="46" customFormat="false" ht="15" hidden="false" customHeight="true" outlineLevel="0" collapsed="false">
      <c r="A46" s="32" t="s">
        <v>154</v>
      </c>
      <c r="C46" s="34" t="n">
        <f aca="false">'Capability Inputs'!B54</f>
        <v>70.25</v>
      </c>
    </row>
    <row r="47" customFormat="false" ht="15" hidden="false" customHeight="true" outlineLevel="0" collapsed="false">
      <c r="A47" s="32" t="s">
        <v>155</v>
      </c>
      <c r="C47" s="34" t="n">
        <f aca="false">'Capability Inputs'!B55</f>
        <v>68.75</v>
      </c>
    </row>
    <row r="49" customFormat="false" ht="15" hidden="false" customHeight="true" outlineLevel="0" collapsed="false">
      <c r="A49" s="24" t="s">
        <v>476</v>
      </c>
    </row>
    <row r="50" customFormat="false" ht="15" hidden="false" customHeight="true" outlineLevel="0" collapsed="false">
      <c r="A50" s="24" t="s">
        <v>387</v>
      </c>
      <c r="B50" s="24" t="s">
        <v>477</v>
      </c>
      <c r="C50" s="24" t="s">
        <v>478</v>
      </c>
      <c r="D50" s="24" t="s">
        <v>479</v>
      </c>
      <c r="E50" s="24" t="s">
        <v>480</v>
      </c>
    </row>
    <row r="51" customFormat="false" ht="15" hidden="false" customHeight="true" outlineLevel="0" collapsed="false">
      <c r="A51" s="1" t="s">
        <v>404</v>
      </c>
      <c r="B51" s="34" t="n">
        <f aca="false">'Opportunity Inputs'!D8</f>
        <v>62.3</v>
      </c>
      <c r="C51" s="34" t="n">
        <f aca="false">'Opportunity Inputs'!D20</f>
        <v>60.15625</v>
      </c>
      <c r="D51" s="34" t="n">
        <f aca="false">'Opportunity Inputs'!D21</f>
        <v>2.14375</v>
      </c>
      <c r="E51" s="1" t="str">
        <f aca="false">'Opportunity Inputs'!D22</f>
        <v/>
      </c>
    </row>
    <row r="52" customFormat="false" ht="15" hidden="false" customHeight="true" outlineLevel="0" collapsed="false">
      <c r="A52" s="1" t="s">
        <v>405</v>
      </c>
      <c r="B52" s="34" t="n">
        <f aca="false">'Opportunity Inputs'!D29</f>
        <v>73.5</v>
      </c>
      <c r="C52" s="34" t="n">
        <f aca="false">'Opportunity Inputs'!D37</f>
        <v>65</v>
      </c>
      <c r="D52" s="34" t="n">
        <f aca="false">'Opportunity Inputs'!D38</f>
        <v>8.5</v>
      </c>
      <c r="E52" s="1" t="str">
        <f aca="false">'Opportunity Inputs'!D39</f>
        <v/>
      </c>
    </row>
    <row r="53" customFormat="false" ht="15" hidden="false" customHeight="true" outlineLevel="0" collapsed="false">
      <c r="A53" s="1" t="s">
        <v>406</v>
      </c>
      <c r="B53" s="34" t="n">
        <f aca="false">'Opportunity Inputs'!D44</f>
        <v>60</v>
      </c>
      <c r="C53" s="34" t="n">
        <f aca="false">'Opportunity Inputs'!D53</f>
        <v>50.5</v>
      </c>
      <c r="D53" s="34" t="n">
        <f aca="false">'Opportunity Inputs'!D54</f>
        <v>9.5</v>
      </c>
      <c r="E53" s="1" t="str">
        <f aca="false">'Opportunity Inputs'!D55</f>
        <v/>
      </c>
    </row>
    <row r="55" customFormat="false" ht="15" hidden="false" customHeight="true" outlineLevel="0" collapsed="false">
      <c r="A55" s="24" t="s">
        <v>481</v>
      </c>
    </row>
    <row r="56" customFormat="false" ht="15" hidden="false" customHeight="true" outlineLevel="0" collapsed="false">
      <c r="A56" s="32" t="s">
        <v>426</v>
      </c>
      <c r="C56" s="1" t="str">
        <f aca="false">'Composite Scoring'!B44</f>
        <v>Opportunity</v>
      </c>
    </row>
    <row r="58" customFormat="false" ht="15" hidden="false" customHeight="true" outlineLevel="0" collapsed="false">
      <c r="A58" s="24" t="s">
        <v>482</v>
      </c>
    </row>
    <row r="59" customFormat="false" ht="15" hidden="false" customHeight="true" outlineLevel="0" collapsed="false">
      <c r="A59" s="24" t="s">
        <v>420</v>
      </c>
      <c r="B59" s="24" t="s">
        <v>421</v>
      </c>
      <c r="C59" s="24" t="s">
        <v>32</v>
      </c>
      <c r="D59" s="24" t="s">
        <v>422</v>
      </c>
      <c r="E59" s="24" t="s">
        <v>423</v>
      </c>
      <c r="F59" s="24" t="s">
        <v>424</v>
      </c>
    </row>
    <row r="60" customFormat="false" ht="15" hidden="false" customHeight="true" outlineLevel="0" collapsed="false">
      <c r="A60" s="35" t="n">
        <f aca="false">'Composite Scoring'!A36</f>
        <v>1</v>
      </c>
      <c r="B60" s="1" t="str">
        <f aca="false">'Composite Scoring'!B36</f>
        <v>Opportunity</v>
      </c>
      <c r="C60" s="1" t="str">
        <f aca="false">'Composite Scoring'!C36</f>
        <v>O3 - Process &amp; workflow</v>
      </c>
      <c r="D60" s="34" t="n">
        <f aca="false">'Composite Scoring'!D36</f>
        <v>55.25</v>
      </c>
      <c r="E60" s="36" t="n">
        <f aca="false">'Composite Scoring'!E36</f>
        <v>0.520096817490926</v>
      </c>
      <c r="F60" s="37" t="n">
        <f aca="false">'Composite Scoring'!F36</f>
        <v>0.423444968949122</v>
      </c>
    </row>
    <row r="61" customFormat="false" ht="15" hidden="false" customHeight="true" outlineLevel="0" collapsed="false">
      <c r="A61" s="35" t="n">
        <f aca="false">'Composite Scoring'!A37</f>
        <v>2</v>
      </c>
      <c r="B61" s="1" t="str">
        <f aca="false">'Composite Scoring'!B37</f>
        <v>Opportunity</v>
      </c>
      <c r="C61" s="1" t="str">
        <f aca="false">'Composite Scoring'!C37</f>
        <v>O1 - Clarity &amp; decision rights</v>
      </c>
      <c r="D61" s="34" t="n">
        <f aca="false">'Composite Scoring'!D37</f>
        <v>61.228125</v>
      </c>
      <c r="E61" s="36" t="n">
        <f aca="false">'Composite Scoring'!E37</f>
        <v>0.62206329873543</v>
      </c>
      <c r="F61" s="37" t="n">
        <f aca="false">'Composite Scoring'!F37</f>
        <v>0.419777409805429</v>
      </c>
    </row>
    <row r="62" customFormat="false" ht="15" hidden="false" customHeight="true" outlineLevel="0" collapsed="false">
      <c r="A62" s="35" t="n">
        <f aca="false">'Composite Scoring'!A38</f>
        <v>3</v>
      </c>
      <c r="B62" s="1" t="str">
        <f aca="false">'Composite Scoring'!B38</f>
        <v>Motivation</v>
      </c>
      <c r="C62" s="1" t="str">
        <f aca="false">'Composite Scoring'!C38</f>
        <v>M4 - Purpose alignment</v>
      </c>
      <c r="D62" s="34" t="n">
        <f aca="false">'Composite Scoring'!D38</f>
        <v>60</v>
      </c>
      <c r="E62" s="36" t="n">
        <f aca="false">'Composite Scoring'!E38</f>
        <v>0.462324251799247</v>
      </c>
      <c r="F62" s="37" t="n">
        <f aca="false">'Composite Scoring'!F38</f>
        <v>0.327121699555823</v>
      </c>
    </row>
    <row r="63" customFormat="false" ht="15" hidden="false" customHeight="true" outlineLevel="0" collapsed="false">
      <c r="A63" s="35" t="n">
        <f aca="false">'Composite Scoring'!A39</f>
        <v>4</v>
      </c>
      <c r="B63" s="1" t="str">
        <f aca="false">'Composite Scoring'!B39</f>
        <v>Opportunity</v>
      </c>
      <c r="C63" s="1" t="str">
        <f aca="false">'Composite Scoring'!C39</f>
        <v>O4 - Resource adequacy</v>
      </c>
      <c r="D63" s="34" t="n">
        <f aca="false">'Composite Scoring'!D39</f>
        <v>47.5</v>
      </c>
      <c r="E63" s="36" t="n">
        <f aca="false">'Composite Scoring'!E39</f>
        <v>0.329092109761143</v>
      </c>
      <c r="F63" s="37" t="n">
        <f aca="false">'Composite Scoring'!F39</f>
        <v>0.302854490509105</v>
      </c>
    </row>
    <row r="64" customFormat="false" ht="15" hidden="false" customHeight="true" outlineLevel="0" collapsed="false">
      <c r="A64" s="35" t="n">
        <f aca="false">'Composite Scoring'!A40</f>
        <v>5</v>
      </c>
      <c r="B64" s="1" t="str">
        <f aca="false">'Composite Scoring'!B40</f>
        <v>Motivation</v>
      </c>
      <c r="C64" s="1" t="str">
        <f aca="false">'Composite Scoring'!C40</f>
        <v>M1 - Engagement &amp; confidence</v>
      </c>
      <c r="D64" s="34" t="n">
        <f aca="false">'Composite Scoring'!D40</f>
        <v>72</v>
      </c>
      <c r="E64" s="36" t="n">
        <f aca="false">'Composite Scoring'!E40</f>
        <v>0.79858225849194</v>
      </c>
      <c r="F64" s="37" t="n">
        <f aca="false">'Composite Scoring'!F40</f>
        <v>0.279975870264652</v>
      </c>
    </row>
    <row r="65" customFormat="false" ht="15" hidden="false" customHeight="true" outlineLevel="0" collapsed="false">
      <c r="A65" s="35" t="n">
        <f aca="false">'Composite Scoring'!A41</f>
        <v>6</v>
      </c>
      <c r="B65" s="1" t="str">
        <f aca="false">'Composite Scoring'!B41</f>
        <v>Capability</v>
      </c>
      <c r="C65" s="1" t="str">
        <f aca="false">'Composite Scoring'!C41</f>
        <v>C3 - Talent density</v>
      </c>
      <c r="D65" s="34" t="n">
        <f aca="false">'Composite Scoring'!D41</f>
        <v>66.5</v>
      </c>
      <c r="E65" s="36" t="n">
        <f aca="false">'Composite Scoring'!E41</f>
        <v>0.38310353465438</v>
      </c>
      <c r="F65" s="37" t="n">
        <f aca="false">'Composite Scoring'!F41</f>
        <v>0.198354569960312</v>
      </c>
    </row>
    <row r="67" customFormat="false" ht="15" hidden="false" customHeight="true" outlineLevel="0" collapsed="false">
      <c r="A67" s="24" t="s">
        <v>483</v>
      </c>
    </row>
    <row r="68" customFormat="false" ht="15" hidden="false" customHeight="true" outlineLevel="0" collapsed="false">
      <c r="A68" s="32" t="s">
        <v>224</v>
      </c>
      <c r="C68" s="1" t="str">
        <f aca="false">'Opportunity Inputs'!D22</f>
        <v/>
      </c>
    </row>
    <row r="69" customFormat="false" ht="15" hidden="false" customHeight="true" outlineLevel="0" collapsed="false">
      <c r="A69" s="32" t="s">
        <v>238</v>
      </c>
      <c r="C69" s="1" t="str">
        <f aca="false">'Opportunity Inputs'!D39</f>
        <v/>
      </c>
    </row>
    <row r="70" customFormat="false" ht="15" hidden="false" customHeight="true" outlineLevel="0" collapsed="false">
      <c r="A70" s="32" t="s">
        <v>251</v>
      </c>
      <c r="C70" s="1" t="str">
        <f aca="false">'Opportunity Inputs'!D55</f>
        <v/>
      </c>
    </row>
    <row r="71" customFormat="false" ht="15" hidden="false" customHeight="true" outlineLevel="0" collapsed="false">
      <c r="A71" s="32" t="s">
        <v>484</v>
      </c>
      <c r="C71" s="1" t="str">
        <f aca="false">'Behavioural Triangulators'!C11</f>
        <v/>
      </c>
    </row>
    <row r="72" customFormat="false" ht="15" hidden="false" customHeight="true" outlineLevel="0" collapsed="false">
      <c r="A72" s="32" t="s">
        <v>301</v>
      </c>
      <c r="C72" s="1" t="str">
        <f aca="false">'Synergy Inputs'!D37</f>
        <v/>
      </c>
    </row>
    <row r="73" customFormat="false" ht="15" hidden="false" customHeight="true" outlineLevel="0" collapsed="false">
      <c r="A73" s="32" t="s">
        <v>485</v>
      </c>
      <c r="C73" s="1" t="str">
        <f aca="false">'Methodology Footer'!C24</f>
        <v>Basic conditions trip-wire breached</v>
      </c>
    </row>
    <row r="75" customFormat="false" ht="15" hidden="false" customHeight="true" outlineLevel="0" collapsed="false">
      <c r="A75" s="24" t="s">
        <v>486</v>
      </c>
    </row>
    <row r="76" customFormat="false" ht="15" hidden="false" customHeight="true" outlineLevel="0" collapsed="false">
      <c r="A76" s="32" t="s">
        <v>487</v>
      </c>
      <c r="C76" s="1" t="n">
        <f aca="false">COUNT(DLP!C5:C47)</f>
        <v>43</v>
      </c>
    </row>
    <row r="78" customFormat="false" ht="15" hidden="false" customHeight="true" outlineLevel="0" collapsed="false">
      <c r="A78" s="24" t="s">
        <v>488</v>
      </c>
    </row>
    <row r="79" customFormat="false" ht="15" hidden="false" customHeight="true" outlineLevel="0" collapsed="false">
      <c r="B79" s="24" t="s">
        <v>305</v>
      </c>
      <c r="C79" s="24" t="s">
        <v>489</v>
      </c>
      <c r="D79" s="24" t="s">
        <v>306</v>
      </c>
    </row>
    <row r="80" customFormat="false" ht="15" hidden="false" customHeight="true" outlineLevel="0" collapsed="false">
      <c r="B80" s="1" t="str">
        <f aca="false">IFERROR(INDEX(DLP!$B$5:$B$47,MATCH(LARGE(DLP!$C$5:$C$47,1),DLP!$C$5:$C$47,0)),"")</f>
        <v>Strategic</v>
      </c>
      <c r="C80" s="1" t="str">
        <f aca="false">IFERROR(IF(INDEX(DLP!$G$5:$G$47,MATCH(LARGE(DLP!$C$5:$C$47,1),DLP!$C$5:$C$47,0))=0,"",INDEX(DLP!$G$5:$G$47,MATCH(LARGE(DLP!$C$5:$C$47,1),DLP!$C$5:$C$47,0))),"")</f>
        <v/>
      </c>
      <c r="D80" s="1" t="n">
        <f aca="false">IFERROR(LARGE(DLP!$C$5:$C$47,1),"")</f>
        <v>200</v>
      </c>
    </row>
    <row r="81" customFormat="false" ht="15" hidden="false" customHeight="true" outlineLevel="0" collapsed="false">
      <c r="B81" s="1" t="str">
        <f aca="false">IFERROR(INDEX(DLP!$B$5:$B$47,MATCH(LARGE(DLP!$C$5:$C$47,2),DLP!$C$5:$C$47,0)),"")</f>
        <v>Strategic</v>
      </c>
      <c r="C81" s="1" t="str">
        <f aca="false">IFERROR(IF(INDEX(DLP!$G$5:$G$47,MATCH(LARGE(DLP!$C$5:$C$47,2),DLP!$C$5:$C$47,0))=0,"",INDEX(DLP!$G$5:$G$47,MATCH(LARGE(DLP!$C$5:$C$47,2),DLP!$C$5:$C$47,0))),"")</f>
        <v/>
      </c>
      <c r="D81" s="1" t="n">
        <f aca="false">IFERROR(LARGE(DLP!$C$5:$C$47,2),"")</f>
        <v>160</v>
      </c>
    </row>
    <row r="82" customFormat="false" ht="15" hidden="false" customHeight="true" outlineLevel="0" collapsed="false">
      <c r="B82" s="1" t="str">
        <f aca="false">IFERROR(INDEX(DLP!$B$5:$B$47,MATCH(LARGE(DLP!$C$5:$C$47,3),DLP!$C$5:$C$47,0)),"")</f>
        <v>Strategic</v>
      </c>
      <c r="C82" s="1" t="str">
        <f aca="false">IFERROR(IF(INDEX(DLP!$G$5:$G$47,MATCH(LARGE(DLP!$C$5:$C$47,3),DLP!$C$5:$C$47,0))=0,"",INDEX(DLP!$G$5:$G$47,MATCH(LARGE(DLP!$C$5:$C$47,3),DLP!$C$5:$C$47,0))),"")</f>
        <v/>
      </c>
      <c r="D82" s="1" t="n">
        <f aca="false">IFERROR(LARGE(DLP!$C$5:$C$47,3),"")</f>
        <v>130</v>
      </c>
    </row>
    <row r="83" customFormat="false" ht="15" hidden="false" customHeight="true" outlineLevel="0" collapsed="false">
      <c r="B83" s="1" t="str">
        <f aca="false">IFERROR(INDEX(DLP!$B$5:$B$47,MATCH(LARGE(DLP!$C$5:$C$47,4),DLP!$C$5:$C$47,0)),"")</f>
        <v>Strategic</v>
      </c>
      <c r="C83" s="1" t="str">
        <f aca="false">IFERROR(IF(INDEX(DLP!$G$5:$G$47,MATCH(LARGE(DLP!$C$5:$C$47,4),DLP!$C$5:$C$47,0))=0,"",INDEX(DLP!$G$5:$G$47,MATCH(LARGE(DLP!$C$5:$C$47,4),DLP!$C$5:$C$47,0))),"")</f>
        <v/>
      </c>
      <c r="D83" s="1" t="n">
        <f aca="false">IFERROR(LARGE(DLP!$C$5:$C$47,4),"")</f>
        <v>100</v>
      </c>
    </row>
    <row r="84" customFormat="false" ht="15" hidden="false" customHeight="true" outlineLevel="0" collapsed="false">
      <c r="B84" s="1" t="str">
        <f aca="false">IFERROR(INDEX(DLP!$B$5:$B$47,MATCH(LARGE(DLP!$C$5:$C$47,5),DLP!$C$5:$C$47,0)),"")</f>
        <v>Strategic</v>
      </c>
      <c r="C84" s="1" t="str">
        <f aca="false">IFERROR(IF(INDEX(DLP!$G$5:$G$47,MATCH(LARGE(DLP!$C$5:$C$47,5),DLP!$C$5:$C$47,0))=0,"",INDEX(DLP!$G$5:$G$47,MATCH(LARGE(DLP!$C$5:$C$47,5),DLP!$C$5:$C$47,0))),"")</f>
        <v/>
      </c>
      <c r="D84" s="1" t="n">
        <f aca="false">IFERROR(LARGE(DLP!$C$5:$C$47,5),"")</f>
        <v>80</v>
      </c>
    </row>
    <row r="86" customFormat="false" ht="15" hidden="false" customHeight="true" outlineLevel="0" collapsed="false">
      <c r="A86" s="24" t="s">
        <v>490</v>
      </c>
    </row>
    <row r="87" customFormat="false" ht="15" hidden="false" customHeight="true" outlineLevel="0" collapsed="false">
      <c r="A87" s="32" t="s">
        <v>379</v>
      </c>
      <c r="C87" s="1" t="str">
        <f aca="false">'Engagement Metadata'!D11</f>
        <v>Northwind Mutual</v>
      </c>
    </row>
    <row r="88" customFormat="false" ht="15" hidden="false" customHeight="true" outlineLevel="0" collapsed="false">
      <c r="A88" s="32" t="s">
        <v>380</v>
      </c>
      <c r="C88" s="1" t="str">
        <f aca="false">'Engagement Metadata'!D12</f>
        <v>Member Services</v>
      </c>
    </row>
    <row r="89" customFormat="false" ht="15" hidden="false" customHeight="true" outlineLevel="0" collapsed="false">
      <c r="A89" s="32" t="s">
        <v>14</v>
      </c>
      <c r="C89" s="35" t="n">
        <f aca="false">'Engagement Metadata'!D13</f>
        <v>60</v>
      </c>
    </row>
    <row r="90" customFormat="false" ht="15" hidden="false" customHeight="true" outlineLevel="0" collapsed="false">
      <c r="A90" s="32" t="s">
        <v>491</v>
      </c>
      <c r="C90" s="1" t="str">
        <f aca="false">'Engagement Metadata'!D14</f>
        <v>K - Financial and Insurance Services</v>
      </c>
    </row>
    <row r="91" customFormat="false" ht="15" hidden="false" customHeight="true" outlineLevel="0" collapsed="false">
      <c r="A91" s="32" t="s">
        <v>17</v>
      </c>
      <c r="C91" s="1" t="str">
        <f aca="false">'Engagement Metadata'!D15</f>
        <v>Health insurance</v>
      </c>
    </row>
    <row r="92" customFormat="false" ht="15" hidden="false" customHeight="true" outlineLevel="0" collapsed="false">
      <c r="A92" s="32" t="s">
        <v>19</v>
      </c>
      <c r="C92" s="1" t="str">
        <f aca="false">'Engagement Metadata'!D16</f>
        <v>200–1,000 FTE</v>
      </c>
    </row>
    <row r="93" customFormat="false" ht="15" hidden="false" customHeight="true" outlineLevel="0" collapsed="false">
      <c r="A93" s="32" t="s">
        <v>21</v>
      </c>
      <c r="C93" s="1" t="str">
        <f aca="false">'Engagement Metadata'!D17</f>
        <v>Customer-facing service</v>
      </c>
    </row>
    <row r="94" customFormat="false" ht="15" hidden="false" customHeight="true" outlineLevel="0" collapsed="false">
      <c r="A94" s="32" t="s">
        <v>492</v>
      </c>
      <c r="C94" s="1" t="str">
        <f aca="false">'Engagement Metadata'!D18</f>
        <v>Default</v>
      </c>
    </row>
    <row r="95" customFormat="false" ht="15" hidden="false" customHeight="true" outlineLevel="0" collapsed="false">
      <c r="A95" s="32" t="s">
        <v>25</v>
      </c>
      <c r="C95" s="38" t="n">
        <f aca="false">'Engagement Metadata'!D19</f>
        <v>46174</v>
      </c>
    </row>
    <row r="96" customFormat="false" ht="15" hidden="false" customHeight="true" outlineLevel="0" collapsed="false">
      <c r="A96" s="32" t="s">
        <v>26</v>
      </c>
      <c r="C96" s="1" t="str">
        <f aca="false">'Engagement Metadata'!D20</f>
        <v>M. (PerformanceVP)</v>
      </c>
    </row>
    <row r="97" customFormat="false" ht="15" hidden="false" customHeight="true" outlineLevel="0" collapsed="false">
      <c r="A97" s="32" t="s">
        <v>493</v>
      </c>
      <c r="C97" s="1" t="str">
        <f aca="false">'Engagement Metadata'!D21</f>
        <v>PVP-2026-NWM-MS</v>
      </c>
    </row>
    <row r="99" customFormat="false" ht="15" hidden="false" customHeight="true" outlineLevel="0" collapsed="false">
      <c r="A99" s="24" t="s">
        <v>494</v>
      </c>
    </row>
    <row r="100" customFormat="false" ht="15" hidden="false" customHeight="true" outlineLevel="0" collapsed="false">
      <c r="A100" s="24" t="s">
        <v>380</v>
      </c>
      <c r="B100" s="24" t="s">
        <v>495</v>
      </c>
      <c r="C100" s="24" t="s">
        <v>496</v>
      </c>
      <c r="D100" s="24" t="s">
        <v>497</v>
      </c>
      <c r="E100" s="24" t="s">
        <v>498</v>
      </c>
      <c r="F100" s="24" t="s">
        <v>499</v>
      </c>
      <c r="G100" s="24" t="s">
        <v>500</v>
      </c>
      <c r="H100" s="24" t="s">
        <v>501</v>
      </c>
    </row>
    <row r="101" customFormat="false" ht="15" hidden="false" customHeight="true" outlineLevel="0" collapsed="false">
      <c r="A101" s="1" t="str">
        <f aca="false">'Engagement Metadata'!D12</f>
        <v>Member Services</v>
      </c>
      <c r="B101" s="34" t="n">
        <f aca="false">C5</f>
        <v>72.3139293565219</v>
      </c>
      <c r="C101" s="1" t="str">
        <f aca="false">D5</f>
        <v>Amber</v>
      </c>
      <c r="D101" s="34" t="n">
        <f aca="false">C7</f>
        <v>72.9730317460318</v>
      </c>
      <c r="E101" s="34" t="n">
        <f aca="false">C8</f>
        <v>70.05</v>
      </c>
      <c r="F101" s="34" t="n">
        <f aca="false">C9</f>
        <v>61.3809375</v>
      </c>
      <c r="G101" s="37" t="n">
        <f aca="false">C10</f>
        <v>1.051825</v>
      </c>
      <c r="H101" s="1" t="str">
        <f aca="false">'Composite Scoring'!C36</f>
        <v>O3 - Process &amp; workflow</v>
      </c>
    </row>
  </sheetData>
  <sheetProtection sheet="true" formatCells="false"/>
  <mergeCells count="38">
    <mergeCell ref="A1:C1"/>
    <mergeCell ref="A2:C2"/>
    <mergeCell ref="A4:C4"/>
    <mergeCell ref="A5:B5"/>
    <mergeCell ref="A6:B6"/>
    <mergeCell ref="A7:B7"/>
    <mergeCell ref="A8:B8"/>
    <mergeCell ref="A9:B9"/>
    <mergeCell ref="A10:B10"/>
    <mergeCell ref="A11:B11"/>
    <mergeCell ref="A12:B12"/>
    <mergeCell ref="A13:C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C31"/>
    <mergeCell ref="A32:B32"/>
    <mergeCell ref="A33:B33"/>
    <mergeCell ref="A34:B34"/>
    <mergeCell ref="A35:B35"/>
    <mergeCell ref="A36:C36"/>
    <mergeCell ref="A37:B37"/>
    <mergeCell ref="A38:B38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5" min="3" style="1" width="16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6"/>
  </cols>
  <sheetData>
    <row r="1" customFormat="false" ht="45.75" hidden="false" customHeight="true" outlineLevel="0" collapsed="false">
      <c r="A1" s="7" t="s">
        <v>502</v>
      </c>
    </row>
    <row r="3" customFormat="false" ht="23.25" hidden="false" customHeight="true" outlineLevel="0" collapsed="false">
      <c r="A3" s="14" t="s">
        <v>503</v>
      </c>
      <c r="B3" s="14"/>
      <c r="C3" s="14"/>
      <c r="D3" s="14" t="s">
        <v>504</v>
      </c>
      <c r="E3" s="14"/>
    </row>
    <row r="4" customFormat="false" ht="15" hidden="false" customHeight="true" outlineLevel="0" collapsed="false">
      <c r="A4" s="10" t="s">
        <v>505</v>
      </c>
      <c r="B4" s="23" t="n">
        <v>0.35</v>
      </c>
      <c r="D4" s="10" t="s">
        <v>506</v>
      </c>
      <c r="E4" s="11" t="n">
        <v>85</v>
      </c>
    </row>
    <row r="5" customFormat="false" ht="15" hidden="false" customHeight="true" outlineLevel="0" collapsed="false">
      <c r="A5" s="10" t="s">
        <v>507</v>
      </c>
      <c r="B5" s="23" t="n">
        <v>0.4</v>
      </c>
      <c r="D5" s="10" t="s">
        <v>508</v>
      </c>
      <c r="E5" s="23" t="n">
        <v>0.3</v>
      </c>
    </row>
    <row r="6" customFormat="false" ht="15" hidden="false" customHeight="true" outlineLevel="0" collapsed="false">
      <c r="A6" s="10" t="s">
        <v>509</v>
      </c>
      <c r="B6" s="23" t="n">
        <v>0.25</v>
      </c>
      <c r="D6" s="10" t="s">
        <v>510</v>
      </c>
      <c r="E6" s="11" t="n">
        <v>8</v>
      </c>
    </row>
    <row r="7" customFormat="false" ht="15" hidden="false" customHeight="true" outlineLevel="0" collapsed="false">
      <c r="A7" s="10" t="s">
        <v>511</v>
      </c>
      <c r="B7" s="23" t="n">
        <v>0.85</v>
      </c>
    </row>
    <row r="8" customFormat="false" ht="15" hidden="false" customHeight="true" outlineLevel="0" collapsed="false">
      <c r="A8" s="10" t="s">
        <v>512</v>
      </c>
      <c r="B8" s="23" t="n">
        <v>0.3</v>
      </c>
    </row>
    <row r="9" customFormat="false" ht="15" hidden="false" customHeight="true" outlineLevel="0" collapsed="false">
      <c r="A9" s="10" t="s">
        <v>513</v>
      </c>
      <c r="B9" s="23" t="n">
        <v>0.4</v>
      </c>
    </row>
    <row r="10" customFormat="false" ht="15" hidden="false" customHeight="true" outlineLevel="0" collapsed="false">
      <c r="A10" s="10" t="s">
        <v>514</v>
      </c>
      <c r="B10" s="23" t="n">
        <v>0.35</v>
      </c>
    </row>
    <row r="11" customFormat="false" ht="15" hidden="false" customHeight="true" outlineLevel="0" collapsed="false">
      <c r="A11" s="10" t="s">
        <v>515</v>
      </c>
      <c r="B11" s="23" t="n">
        <v>0.25</v>
      </c>
    </row>
    <row r="13" customFormat="false" ht="15" hidden="false" customHeight="true" outlineLevel="0" collapsed="false">
      <c r="A13" s="14" t="s">
        <v>516</v>
      </c>
      <c r="B13" s="14"/>
      <c r="C13" s="14"/>
      <c r="D13" s="14"/>
      <c r="E13" s="14"/>
      <c r="F13" s="14"/>
      <c r="G13" s="14"/>
      <c r="H13" s="14"/>
    </row>
    <row r="14" customFormat="false" ht="23.25" hidden="false" customHeight="true" outlineLevel="0" collapsed="false">
      <c r="A14" s="9" t="s">
        <v>387</v>
      </c>
      <c r="B14" s="9" t="s">
        <v>421</v>
      </c>
      <c r="C14" s="9" t="s">
        <v>24</v>
      </c>
      <c r="D14" s="9" t="s">
        <v>517</v>
      </c>
      <c r="E14" s="9" t="s">
        <v>518</v>
      </c>
      <c r="F14" s="9" t="s">
        <v>22</v>
      </c>
      <c r="G14" s="9" t="s">
        <v>519</v>
      </c>
      <c r="H14" s="9" t="s">
        <v>520</v>
      </c>
    </row>
    <row r="15" customFormat="false" ht="15" hidden="false" customHeight="true" outlineLevel="0" collapsed="false">
      <c r="A15" s="10" t="s">
        <v>393</v>
      </c>
      <c r="B15" s="10" t="s">
        <v>497</v>
      </c>
      <c r="C15" s="18" t="n">
        <v>0.35</v>
      </c>
      <c r="D15" s="18" t="n">
        <v>0.4</v>
      </c>
      <c r="E15" s="18" t="n">
        <v>0.35</v>
      </c>
      <c r="F15" s="18" t="n">
        <v>0.35</v>
      </c>
      <c r="G15" s="18" t="n">
        <v>0.3</v>
      </c>
      <c r="H15" s="18" t="n">
        <v>0.35</v>
      </c>
    </row>
    <row r="16" customFormat="false" ht="15" hidden="false" customHeight="true" outlineLevel="0" collapsed="false">
      <c r="A16" s="10" t="s">
        <v>394</v>
      </c>
      <c r="B16" s="10" t="s">
        <v>497</v>
      </c>
      <c r="C16" s="18" t="n">
        <v>0.15</v>
      </c>
      <c r="D16" s="18" t="n">
        <v>0.15</v>
      </c>
      <c r="E16" s="18" t="n">
        <v>0.1</v>
      </c>
      <c r="F16" s="18" t="n">
        <v>0.2</v>
      </c>
      <c r="G16" s="18" t="n">
        <v>0.25</v>
      </c>
      <c r="H16" s="18" t="n">
        <v>0.25</v>
      </c>
    </row>
    <row r="17" customFormat="false" ht="15" hidden="false" customHeight="true" outlineLevel="0" collapsed="false">
      <c r="A17" s="10" t="s">
        <v>395</v>
      </c>
      <c r="B17" s="10" t="s">
        <v>497</v>
      </c>
      <c r="C17" s="18" t="n">
        <v>0.2</v>
      </c>
      <c r="D17" s="18" t="n">
        <v>0.25</v>
      </c>
      <c r="E17" s="18" t="n">
        <v>0.15</v>
      </c>
      <c r="F17" s="18" t="n">
        <v>0.2</v>
      </c>
      <c r="G17" s="18" t="n">
        <v>0.15</v>
      </c>
      <c r="H17" s="18" t="n">
        <v>0.2</v>
      </c>
    </row>
    <row r="18" customFormat="false" ht="15" hidden="false" customHeight="true" outlineLevel="0" collapsed="false">
      <c r="A18" s="10" t="s">
        <v>396</v>
      </c>
      <c r="B18" s="10" t="s">
        <v>497</v>
      </c>
      <c r="C18" s="18" t="n">
        <v>0.2</v>
      </c>
      <c r="D18" s="18" t="n">
        <v>0.25</v>
      </c>
      <c r="E18" s="18" t="n">
        <v>0.15</v>
      </c>
      <c r="F18" s="18" t="n">
        <v>0.2</v>
      </c>
      <c r="G18" s="18" t="n">
        <v>0.2</v>
      </c>
      <c r="H18" s="18" t="n">
        <v>0.25</v>
      </c>
    </row>
    <row r="19" customFormat="false" ht="15" hidden="false" customHeight="true" outlineLevel="0" collapsed="false">
      <c r="A19" s="10" t="s">
        <v>397</v>
      </c>
      <c r="B19" s="10" t="s">
        <v>497</v>
      </c>
      <c r="C19" s="18" t="n">
        <v>0.1</v>
      </c>
      <c r="D19" s="18" t="n">
        <v>0.15</v>
      </c>
      <c r="E19" s="18" t="n">
        <v>0.05</v>
      </c>
      <c r="F19" s="18" t="n">
        <v>0.1</v>
      </c>
      <c r="G19" s="18" t="n">
        <v>0.05</v>
      </c>
      <c r="H19" s="18" t="n">
        <v>0.1</v>
      </c>
    </row>
    <row r="20" customFormat="false" ht="15" hidden="false" customHeight="true" outlineLevel="0" collapsed="false">
      <c r="A20" s="10" t="s">
        <v>399</v>
      </c>
      <c r="B20" s="10" t="s">
        <v>498</v>
      </c>
      <c r="C20" s="18" t="n">
        <v>0.5</v>
      </c>
      <c r="D20" s="18" t="n">
        <v>0.45</v>
      </c>
      <c r="E20" s="18" t="n">
        <v>0.55</v>
      </c>
      <c r="F20" s="18" t="n">
        <v>0.55</v>
      </c>
      <c r="G20" s="18" t="n">
        <v>0.5</v>
      </c>
      <c r="H20" s="18" t="n">
        <v>0.5</v>
      </c>
    </row>
    <row r="21" customFormat="false" ht="15" hidden="false" customHeight="true" outlineLevel="0" collapsed="false">
      <c r="A21" s="10" t="s">
        <v>400</v>
      </c>
      <c r="B21" s="10" t="s">
        <v>498</v>
      </c>
      <c r="C21" s="18" t="n">
        <v>0.2</v>
      </c>
      <c r="D21" s="18" t="n">
        <v>0.25</v>
      </c>
      <c r="E21" s="18" t="n">
        <v>0.15</v>
      </c>
      <c r="F21" s="18" t="n">
        <v>0.2</v>
      </c>
      <c r="G21" s="18" t="n">
        <v>0.2</v>
      </c>
      <c r="H21" s="18" t="n">
        <v>0.3</v>
      </c>
    </row>
    <row r="22" customFormat="false" ht="15" hidden="false" customHeight="true" outlineLevel="0" collapsed="false">
      <c r="A22" s="10" t="s">
        <v>401</v>
      </c>
      <c r="B22" s="10" t="s">
        <v>498</v>
      </c>
      <c r="C22" s="18" t="n">
        <v>0.15</v>
      </c>
      <c r="D22" s="18" t="n">
        <v>0.2</v>
      </c>
      <c r="E22" s="18" t="n">
        <v>0.1</v>
      </c>
      <c r="F22" s="18" t="n">
        <v>0.15</v>
      </c>
      <c r="G22" s="18" t="n">
        <v>0.2</v>
      </c>
      <c r="H22" s="18" t="n">
        <v>0.2</v>
      </c>
    </row>
    <row r="23" customFormat="false" ht="15" hidden="false" customHeight="true" outlineLevel="0" collapsed="false">
      <c r="A23" s="10" t="s">
        <v>402</v>
      </c>
      <c r="B23" s="10" t="s">
        <v>498</v>
      </c>
      <c r="C23" s="18" t="n">
        <v>0.15</v>
      </c>
      <c r="D23" s="18" t="n">
        <v>0.15</v>
      </c>
      <c r="E23" s="18" t="n">
        <v>0.1</v>
      </c>
      <c r="F23" s="18" t="n">
        <v>0.15</v>
      </c>
      <c r="G23" s="18" t="n">
        <v>0.2</v>
      </c>
      <c r="H23" s="18" t="n">
        <v>0.25</v>
      </c>
    </row>
    <row r="24" customFormat="false" ht="15" hidden="false" customHeight="true" outlineLevel="0" collapsed="false">
      <c r="A24" s="10" t="s">
        <v>404</v>
      </c>
      <c r="B24" s="10" t="s">
        <v>499</v>
      </c>
      <c r="C24" s="18" t="n">
        <v>0.3</v>
      </c>
      <c r="D24" s="18" t="n">
        <v>0.3</v>
      </c>
      <c r="E24" s="18" t="n">
        <v>0.25</v>
      </c>
      <c r="F24" s="18" t="n">
        <v>0.35</v>
      </c>
      <c r="G24" s="18" t="n">
        <v>0.3</v>
      </c>
      <c r="H24" s="18" t="n">
        <v>0.3</v>
      </c>
    </row>
    <row r="25" customFormat="false" ht="15" hidden="false" customHeight="true" outlineLevel="0" collapsed="false">
      <c r="A25" s="10" t="s">
        <v>405</v>
      </c>
      <c r="B25" s="10" t="s">
        <v>499</v>
      </c>
      <c r="C25" s="18" t="n">
        <v>0.25</v>
      </c>
      <c r="D25" s="18" t="n">
        <v>0.3</v>
      </c>
      <c r="E25" s="18" t="n">
        <v>0.25</v>
      </c>
      <c r="F25" s="18" t="n">
        <v>0.25</v>
      </c>
      <c r="G25" s="18" t="n">
        <v>0.2</v>
      </c>
      <c r="H25" s="18" t="n">
        <v>0.3</v>
      </c>
    </row>
    <row r="26" customFormat="false" ht="15" hidden="false" customHeight="true" outlineLevel="0" collapsed="false">
      <c r="A26" s="10" t="s">
        <v>406</v>
      </c>
      <c r="B26" s="10" t="s">
        <v>499</v>
      </c>
      <c r="C26" s="18" t="n">
        <v>0.2</v>
      </c>
      <c r="D26" s="18" t="n">
        <v>0.15</v>
      </c>
      <c r="E26" s="18" t="n">
        <v>0.3</v>
      </c>
      <c r="F26" s="18" t="n">
        <v>0.2</v>
      </c>
      <c r="G26" s="18" t="n">
        <v>0.25</v>
      </c>
      <c r="H26" s="18" t="n">
        <v>0.25</v>
      </c>
    </row>
    <row r="27" customFormat="false" ht="15" hidden="false" customHeight="true" outlineLevel="0" collapsed="false">
      <c r="A27" s="10" t="s">
        <v>407</v>
      </c>
      <c r="B27" s="10" t="s">
        <v>499</v>
      </c>
      <c r="C27" s="18" t="n">
        <v>0.1</v>
      </c>
      <c r="D27" s="18" t="n">
        <v>0.1</v>
      </c>
      <c r="E27" s="18" t="n">
        <v>0.15</v>
      </c>
      <c r="F27" s="18" t="n">
        <v>0.15</v>
      </c>
      <c r="G27" s="18" t="n">
        <v>0.1</v>
      </c>
      <c r="H27" s="18" t="n">
        <v>0.15</v>
      </c>
    </row>
    <row r="28" customFormat="false" ht="15" hidden="false" customHeight="true" outlineLevel="0" collapsed="false">
      <c r="A28" s="10" t="s">
        <v>408</v>
      </c>
      <c r="B28" s="10" t="s">
        <v>499</v>
      </c>
      <c r="C28" s="18" t="n">
        <v>0.15</v>
      </c>
      <c r="D28" s="18" t="n">
        <v>0.15</v>
      </c>
      <c r="E28" s="18" t="n">
        <v>0.15</v>
      </c>
      <c r="F28" s="18" t="n">
        <v>0.2</v>
      </c>
      <c r="G28" s="18" t="n">
        <v>0.15</v>
      </c>
      <c r="H28" s="18" t="n">
        <v>0.15</v>
      </c>
    </row>
    <row r="29" customFormat="false" ht="15" hidden="false" customHeight="true" outlineLevel="0" collapsed="false">
      <c r="A29" s="10" t="s">
        <v>410</v>
      </c>
      <c r="B29" s="10" t="s">
        <v>500</v>
      </c>
      <c r="C29" s="18" t="n">
        <v>0.3</v>
      </c>
      <c r="D29" s="18" t="n">
        <v>0.35</v>
      </c>
      <c r="E29" s="18" t="n">
        <v>0.25</v>
      </c>
      <c r="F29" s="18" t="n">
        <v>0.3</v>
      </c>
      <c r="G29" s="18" t="n">
        <v>0.3</v>
      </c>
      <c r="H29" s="18" t="n">
        <v>0.3</v>
      </c>
    </row>
    <row r="30" customFormat="false" ht="15" hidden="false" customHeight="true" outlineLevel="0" collapsed="false">
      <c r="A30" s="10" t="s">
        <v>411</v>
      </c>
      <c r="B30" s="10" t="s">
        <v>500</v>
      </c>
      <c r="C30" s="18" t="n">
        <v>0.4</v>
      </c>
      <c r="D30" s="18" t="n">
        <v>0.45</v>
      </c>
      <c r="E30" s="18" t="n">
        <v>0.35</v>
      </c>
      <c r="F30" s="18" t="n">
        <v>0.4</v>
      </c>
      <c r="G30" s="18" t="n">
        <v>0.35</v>
      </c>
      <c r="H30" s="18" t="n">
        <v>0.4</v>
      </c>
    </row>
    <row r="31" customFormat="false" ht="15" hidden="false" customHeight="true" outlineLevel="0" collapsed="false">
      <c r="A31" s="10" t="s">
        <v>412</v>
      </c>
      <c r="B31" s="10" t="s">
        <v>500</v>
      </c>
      <c r="C31" s="18" t="n">
        <v>0.3</v>
      </c>
      <c r="D31" s="18" t="n">
        <v>0.35</v>
      </c>
      <c r="E31" s="18" t="n">
        <v>0.25</v>
      </c>
      <c r="F31" s="18" t="n">
        <v>0.3</v>
      </c>
      <c r="G31" s="18" t="n">
        <v>0.3</v>
      </c>
      <c r="H31" s="18" t="n">
        <v>0.3</v>
      </c>
    </row>
    <row r="33" customFormat="false" ht="15" hidden="false" customHeight="true" outlineLevel="0" collapsed="false">
      <c r="A33" s="14" t="s">
        <v>521</v>
      </c>
      <c r="B33" s="14"/>
      <c r="C33" s="14"/>
      <c r="D33" s="14"/>
      <c r="E33" s="14"/>
    </row>
    <row r="34" customFormat="false" ht="15" hidden="false" customHeight="true" outlineLevel="0" collapsed="false">
      <c r="A34" s="9" t="s">
        <v>305</v>
      </c>
      <c r="B34" s="9" t="s">
        <v>522</v>
      </c>
      <c r="C34" s="9" t="s">
        <v>523</v>
      </c>
      <c r="D34" s="9" t="s">
        <v>524</v>
      </c>
      <c r="E34" s="9" t="s">
        <v>525</v>
      </c>
    </row>
    <row r="35" customFormat="false" ht="15" hidden="false" customHeight="true" outlineLevel="0" collapsed="false">
      <c r="A35" s="10" t="s">
        <v>312</v>
      </c>
      <c r="B35" s="11" t="n">
        <v>1</v>
      </c>
      <c r="C35" s="11" t="n">
        <v>3</v>
      </c>
      <c r="D35" s="11" t="n">
        <v>7</v>
      </c>
      <c r="E35" s="11" t="n">
        <v>14</v>
      </c>
    </row>
    <row r="36" customFormat="false" ht="15" hidden="false" customHeight="true" outlineLevel="0" collapsed="false">
      <c r="A36" s="10" t="s">
        <v>333</v>
      </c>
      <c r="B36" s="11" t="n">
        <v>5</v>
      </c>
      <c r="C36" s="11" t="n">
        <v>12</v>
      </c>
      <c r="D36" s="11" t="n">
        <v>22</v>
      </c>
      <c r="E36" s="11" t="n">
        <v>35</v>
      </c>
    </row>
    <row r="37" customFormat="false" ht="15" hidden="false" customHeight="true" outlineLevel="0" collapsed="false">
      <c r="A37" s="10" t="s">
        <v>349</v>
      </c>
      <c r="B37" s="11" t="n">
        <v>30</v>
      </c>
      <c r="C37" s="11" t="n">
        <v>60</v>
      </c>
      <c r="D37" s="11" t="n">
        <v>100</v>
      </c>
      <c r="E37" s="11" t="n">
        <v>150</v>
      </c>
    </row>
    <row r="39" customFormat="false" ht="15" hidden="false" customHeight="true" outlineLevel="0" collapsed="false">
      <c r="A39" s="14" t="s">
        <v>526</v>
      </c>
      <c r="B39" s="14"/>
      <c r="C39" s="14"/>
    </row>
    <row r="40" customFormat="false" ht="15" hidden="false" customHeight="true" outlineLevel="0" collapsed="false">
      <c r="A40" s="9" t="s">
        <v>387</v>
      </c>
      <c r="B40" s="9" t="s">
        <v>527</v>
      </c>
      <c r="C40" s="9" t="s">
        <v>528</v>
      </c>
    </row>
    <row r="41" customFormat="false" ht="15" hidden="false" customHeight="true" outlineLevel="0" collapsed="false">
      <c r="A41" s="10" t="s">
        <v>393</v>
      </c>
      <c r="B41" s="11" t="n">
        <v>12</v>
      </c>
      <c r="C41" s="11" t="n">
        <v>14</v>
      </c>
    </row>
    <row r="42" customFormat="false" ht="15" hidden="false" customHeight="true" outlineLevel="0" collapsed="false">
      <c r="A42" s="10" t="s">
        <v>394</v>
      </c>
      <c r="B42" s="11" t="n">
        <v>12</v>
      </c>
      <c r="C42" s="11" t="n">
        <v>14</v>
      </c>
    </row>
    <row r="43" customFormat="false" ht="15" hidden="false" customHeight="true" outlineLevel="0" collapsed="false">
      <c r="A43" s="10" t="s">
        <v>395</v>
      </c>
      <c r="B43" s="11" t="n">
        <v>12</v>
      </c>
      <c r="C43" s="11" t="n">
        <v>15</v>
      </c>
    </row>
    <row r="44" customFormat="false" ht="15" hidden="false" customHeight="true" outlineLevel="0" collapsed="false">
      <c r="A44" s="10" t="s">
        <v>396</v>
      </c>
      <c r="B44" s="11" t="n">
        <v>6</v>
      </c>
      <c r="C44" s="11" t="n">
        <v>8</v>
      </c>
    </row>
    <row r="45" customFormat="false" ht="15" hidden="false" customHeight="true" outlineLevel="0" collapsed="false">
      <c r="A45" s="10" t="s">
        <v>397</v>
      </c>
      <c r="B45" s="11" t="n">
        <v>2</v>
      </c>
      <c r="C45" s="11" t="n">
        <v>6</v>
      </c>
    </row>
    <row r="46" customFormat="false" ht="15" hidden="false" customHeight="true" outlineLevel="0" collapsed="false">
      <c r="A46" s="10" t="s">
        <v>399</v>
      </c>
      <c r="B46" s="11" t="n">
        <v>3</v>
      </c>
      <c r="C46" s="11" t="n">
        <v>4</v>
      </c>
    </row>
    <row r="47" customFormat="false" ht="15" hidden="false" customHeight="true" outlineLevel="0" collapsed="false">
      <c r="A47" s="10" t="s">
        <v>400</v>
      </c>
      <c r="B47" s="11" t="n">
        <v>3</v>
      </c>
      <c r="C47" s="11" t="n">
        <v>4</v>
      </c>
    </row>
    <row r="48" customFormat="false" ht="15" hidden="false" customHeight="true" outlineLevel="0" collapsed="false">
      <c r="A48" s="10" t="s">
        <v>401</v>
      </c>
      <c r="B48" s="11" t="n">
        <v>12</v>
      </c>
      <c r="C48" s="11" t="n">
        <v>14</v>
      </c>
    </row>
    <row r="49" customFormat="false" ht="15" hidden="false" customHeight="true" outlineLevel="0" collapsed="false">
      <c r="A49" s="10" t="s">
        <v>402</v>
      </c>
      <c r="B49" s="11" t="n">
        <v>12</v>
      </c>
      <c r="C49" s="11" t="n">
        <v>14</v>
      </c>
    </row>
    <row r="50" customFormat="false" ht="15" hidden="false" customHeight="true" outlineLevel="0" collapsed="false">
      <c r="A50" s="10" t="s">
        <v>529</v>
      </c>
      <c r="B50" s="11" t="n">
        <v>3</v>
      </c>
      <c r="C50" s="11" t="n">
        <v>4</v>
      </c>
    </row>
    <row r="51" customFormat="false" ht="15" hidden="false" customHeight="true" outlineLevel="0" collapsed="false">
      <c r="A51" s="10" t="s">
        <v>530</v>
      </c>
      <c r="B51" s="11" t="n">
        <v>3</v>
      </c>
      <c r="C51" s="11" t="n">
        <v>4</v>
      </c>
    </row>
    <row r="52" customFormat="false" ht="15" hidden="false" customHeight="true" outlineLevel="0" collapsed="false">
      <c r="A52" s="10" t="s">
        <v>531</v>
      </c>
      <c r="B52" s="11" t="n">
        <v>3</v>
      </c>
      <c r="C52" s="11" t="n">
        <v>4</v>
      </c>
    </row>
    <row r="53" customFormat="false" ht="15" hidden="false" customHeight="true" outlineLevel="0" collapsed="false">
      <c r="A53" s="10" t="s">
        <v>404</v>
      </c>
      <c r="B53" s="11" t="n">
        <v>6</v>
      </c>
      <c r="C53" s="11" t="n">
        <v>8</v>
      </c>
    </row>
    <row r="54" customFormat="false" ht="15" hidden="false" customHeight="true" outlineLevel="0" collapsed="false">
      <c r="A54" s="10" t="s">
        <v>405</v>
      </c>
      <c r="B54" s="11" t="n">
        <v>6</v>
      </c>
      <c r="C54" s="11" t="n">
        <v>8</v>
      </c>
    </row>
    <row r="55" customFormat="false" ht="15" hidden="false" customHeight="true" outlineLevel="0" collapsed="false">
      <c r="A55" s="10" t="s">
        <v>406</v>
      </c>
      <c r="B55" s="11" t="n">
        <v>6</v>
      </c>
      <c r="C55" s="11" t="n">
        <v>8</v>
      </c>
    </row>
    <row r="56" customFormat="false" ht="15" hidden="false" customHeight="true" outlineLevel="0" collapsed="false">
      <c r="A56" s="10" t="s">
        <v>407</v>
      </c>
      <c r="B56" s="11" t="n">
        <v>6</v>
      </c>
      <c r="C56" s="11" t="n">
        <v>8</v>
      </c>
    </row>
    <row r="57" customFormat="false" ht="15" hidden="false" customHeight="true" outlineLevel="0" collapsed="false">
      <c r="A57" s="10" t="s">
        <v>408</v>
      </c>
      <c r="B57" s="11" t="n">
        <v>3</v>
      </c>
      <c r="C57" s="11" t="n">
        <v>4</v>
      </c>
    </row>
    <row r="58" customFormat="false" ht="15" hidden="false" customHeight="true" outlineLevel="0" collapsed="false">
      <c r="A58" s="10" t="s">
        <v>410</v>
      </c>
      <c r="B58" s="11" t="n">
        <v>12</v>
      </c>
      <c r="C58" s="11" t="n">
        <v>14</v>
      </c>
    </row>
    <row r="59" customFormat="false" ht="15" hidden="false" customHeight="true" outlineLevel="0" collapsed="false">
      <c r="A59" s="10" t="s">
        <v>411</v>
      </c>
      <c r="B59" s="11" t="n">
        <v>3</v>
      </c>
      <c r="C59" s="11" t="n">
        <v>4</v>
      </c>
    </row>
    <row r="60" customFormat="false" ht="15" hidden="false" customHeight="true" outlineLevel="0" collapsed="false">
      <c r="A60" s="10" t="s">
        <v>412</v>
      </c>
      <c r="B60" s="11" t="n">
        <v>6</v>
      </c>
      <c r="C60" s="11" t="n">
        <v>8</v>
      </c>
    </row>
    <row r="61" customFormat="false" ht="15" hidden="false" customHeight="true" outlineLevel="0" collapsed="false">
      <c r="A61" s="10" t="s">
        <v>532</v>
      </c>
      <c r="B61" s="11" t="n">
        <v>3</v>
      </c>
      <c r="C61" s="11" t="n">
        <v>6</v>
      </c>
    </row>
    <row r="63" customFormat="false" ht="15" hidden="false" customHeight="true" outlineLevel="0" collapsed="false">
      <c r="A63" s="14" t="s">
        <v>533</v>
      </c>
      <c r="B63" s="14"/>
      <c r="C63" s="14"/>
      <c r="D63" s="14"/>
      <c r="E63" s="14"/>
      <c r="F63" s="14"/>
      <c r="G63" s="14"/>
      <c r="H63" s="14"/>
    </row>
    <row r="64" customFormat="false" ht="15" hidden="false" customHeight="true" outlineLevel="0" collapsed="false">
      <c r="A64" s="8" t="s">
        <v>534</v>
      </c>
      <c r="B64" s="8"/>
      <c r="C64" s="8"/>
      <c r="D64" s="8"/>
      <c r="E64" s="8"/>
      <c r="F64" s="8"/>
      <c r="G64" s="8"/>
      <c r="H64" s="8"/>
    </row>
  </sheetData>
  <mergeCells count="7">
    <mergeCell ref="A3:C3"/>
    <mergeCell ref="D3:E3"/>
    <mergeCell ref="A13:H13"/>
    <mergeCell ref="A33:E33"/>
    <mergeCell ref="A39:C39"/>
    <mergeCell ref="A63:H63"/>
    <mergeCell ref="A64:H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3" style="1" width="55"/>
    <col collapsed="false" customWidth="true" hidden="false" outlineLevel="0" max="5" min="5" style="1" width="55"/>
  </cols>
  <sheetData>
    <row r="1" customFormat="false" ht="15.75" hidden="false" customHeight="true" outlineLevel="0" collapsed="false">
      <c r="A1" s="39" t="s">
        <v>535</v>
      </c>
    </row>
    <row r="2" customFormat="false" ht="84.75" hidden="false" customHeight="true" outlineLevel="0" collapsed="false">
      <c r="A2" s="40" t="s">
        <v>536</v>
      </c>
    </row>
    <row r="4" customFormat="false" ht="15" hidden="false" customHeight="true" outlineLevel="0" collapsed="false">
      <c r="A4" s="24" t="s">
        <v>537</v>
      </c>
      <c r="C4" s="24" t="s">
        <v>538</v>
      </c>
      <c r="E4" s="24" t="s">
        <v>539</v>
      </c>
    </row>
    <row r="5" customFormat="false" ht="21.75" hidden="false" customHeight="true" outlineLevel="0" collapsed="false">
      <c r="A5" s="32" t="s">
        <v>540</v>
      </c>
      <c r="C5" s="41"/>
      <c r="E5" s="40" t="s">
        <v>541</v>
      </c>
    </row>
    <row r="6" customFormat="false" ht="21.75" hidden="false" customHeight="true" outlineLevel="0" collapsed="false">
      <c r="A6" s="32" t="s">
        <v>542</v>
      </c>
      <c r="C6" s="41"/>
      <c r="E6" s="40" t="s">
        <v>543</v>
      </c>
    </row>
    <row r="7" customFormat="false" ht="21.75" hidden="false" customHeight="true" outlineLevel="0" collapsed="false">
      <c r="A7" s="32" t="s">
        <v>544</v>
      </c>
      <c r="C7" s="41"/>
      <c r="E7" s="40" t="s">
        <v>545</v>
      </c>
    </row>
    <row r="8" customFormat="false" ht="15" hidden="false" customHeight="true" outlineLevel="0" collapsed="false">
      <c r="A8" s="32" t="s">
        <v>546</v>
      </c>
      <c r="C8" s="41"/>
      <c r="E8" s="40" t="s">
        <v>547</v>
      </c>
    </row>
    <row r="9" customFormat="false" ht="15" hidden="false" customHeight="true" outlineLevel="0" collapsed="false">
      <c r="A9" s="32" t="s">
        <v>548</v>
      </c>
      <c r="C9" s="41"/>
      <c r="E9" s="40" t="s">
        <v>549</v>
      </c>
    </row>
    <row r="10" customFormat="false" ht="21.75" hidden="false" customHeight="true" outlineLevel="0" collapsed="false">
      <c r="A10" s="32" t="s">
        <v>550</v>
      </c>
      <c r="C10" s="41"/>
      <c r="E10" s="40" t="s">
        <v>551</v>
      </c>
    </row>
    <row r="11" customFormat="false" ht="21.75" hidden="false" customHeight="true" outlineLevel="0" collapsed="false">
      <c r="A11" s="32" t="s">
        <v>552</v>
      </c>
      <c r="C11" s="41"/>
      <c r="E11" s="40" t="s">
        <v>553</v>
      </c>
    </row>
    <row r="12" customFormat="false" ht="21.75" hidden="false" customHeight="true" outlineLevel="0" collapsed="false">
      <c r="A12" s="32" t="s">
        <v>554</v>
      </c>
      <c r="C12" s="41"/>
      <c r="E12" s="40" t="s">
        <v>555</v>
      </c>
    </row>
    <row r="13" customFormat="false" ht="15" hidden="false" customHeight="true" outlineLevel="0" collapsed="false">
      <c r="A13" s="32" t="s">
        <v>456</v>
      </c>
      <c r="C13" s="41"/>
      <c r="E13" s="40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2026-06-11T01:30:01Z</dcterms:created>
  <dc:creator>openpyxl</dc:creator>
  <dc:description/>
  <dc:language>en-US</dc:language>
  <cp:lastModifiedBy/>
  <dcterms:modified xsi:type="dcterms:W3CDTF">2026-06-25T01:13:40Z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