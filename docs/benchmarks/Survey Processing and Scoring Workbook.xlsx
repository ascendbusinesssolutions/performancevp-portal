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Setup &amp; Keys" sheetId="1" state="visible" r:id="rId3"/>
    <sheet name="2 Import Main" sheetId="2" state="visible" r:id="rId4"/>
    <sheet name="3 Import Manager" sheetId="3" state="visible" r:id="rId5"/>
    <sheet name="4 Import Leadership" sheetId="4" state="visible" r:id="rId6"/>
    <sheet name="5 Import TeamLeader" sheetId="5" state="visible" r:id="rId7"/>
    <sheet name="6 Import DLP" sheetId="6" state="visible" r:id="rId8"/>
    <sheet name="7 Screening" sheetId="7" state="visible" r:id="rId9"/>
    <sheet name="8 Type A Means" sheetId="8" state="visible" r:id="rId10"/>
    <sheet name="9 Type C Scoring" sheetId="9" state="visible" r:id="rId11"/>
    <sheet name="10 Layer 2" sheetId="10" state="visible" r:id="rId12"/>
    <sheet name="11 Output" sheetId="11" state="visible" r:id="rId13"/>
    <sheet name="Reference" sheetId="12" state="hidden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2" authorId="0">
      <text>
        <r>
          <rPr>
            <sz val="10"/>
            <rFont val="Arial"/>
            <family val="2"/>
          </rPr>
          <t xml:space="preserve">From the 15% audit-sample manager calls; e.g. -7.5 where systematic inflation found, else 0</t>
        </r>
      </text>
    </comment>
  </commentList>
</comments>
</file>

<file path=xl/sharedStrings.xml><?xml version="1.0" encoding="utf-8"?>
<sst xmlns="http://schemas.openxmlformats.org/spreadsheetml/2006/main" count="801" uniqueCount="386">
  <si>
    <t xml:space="preserve">Survey Processing and Scoring Workbook</t>
  </si>
  <si>
    <t xml:space="preserve">One workbook per unit. Intake layer between Google Forms responses and the Diagnostic Workbook.</t>
  </si>
  <si>
    <t xml:space="preserve">Legend</t>
  </si>
  <si>
    <t xml:space="preserve">Blue text on cream</t>
  </si>
  <si>
    <t xml:space="preserve">[INPUT] — the analyst types or pastes</t>
  </si>
  <si>
    <t xml:space="preserve">Black text</t>
  </si>
  <si>
    <t xml:space="preserve">[CALCULATED] — the workbook computes; do not edit</t>
  </si>
  <si>
    <t xml:space="preserve">Green text</t>
  </si>
  <si>
    <t xml:space="preserve">Link pulling from another tab in this workbook</t>
  </si>
  <si>
    <t xml:space="preserve">Three input types (how data enters the Diagnostic Workbook downstream)</t>
  </si>
  <si>
    <t xml:space="preserve">Type A — raw survey item means (entered un-flipped; the Diagnostic Workbook flips and converts).</t>
  </si>
  <si>
    <t xml:space="preserve">Type B — structured counts (C2 per-domain, C3 band counts).</t>
  </si>
  <si>
    <t xml:space="preserve">Type C — finished module scores computed here per the Module Library bespoke rule.</t>
  </si>
  <si>
    <t xml:space="preserve">Engagement keys</t>
  </si>
  <si>
    <t xml:space="preserve">Client and unit name</t>
  </si>
  <si>
    <t xml:space="preserve">[unit name]</t>
  </si>
  <si>
    <t xml:space="preserve">Unit FTE</t>
  </si>
  <si>
    <t xml:space="preserve">Cadence (baseline / half-yearly / quarterly)</t>
  </si>
  <si>
    <t xml:space="preserve">baseline</t>
  </si>
  <si>
    <t xml:space="preserve">Audience headcounts (response-rate denominators)</t>
  </si>
  <si>
    <t xml:space="preserve">All-member (main survey)</t>
  </si>
  <si>
    <t xml:space="preserve">Managers</t>
  </si>
  <si>
    <t xml:space="preserve">Leadership team</t>
  </si>
  <si>
    <t xml:space="preserve">Team leaders</t>
  </si>
  <si>
    <t xml:space="preserve">DLP sampled participants</t>
  </si>
  <si>
    <t xml:space="preserve">Parameters</t>
  </si>
  <si>
    <t xml:space="preserve">C1 proficiency threshold (1-5)</t>
  </si>
  <si>
    <t xml:space="preserve">Default 3 (Proficient). Skills rated at or above this count as demonstrated.</t>
  </si>
  <si>
    <t xml:space="preserve">Team list (CII team-level)</t>
  </si>
  <si>
    <t xml:space="preserve">Decision types — M-O1-LT</t>
  </si>
  <si>
    <t xml:space="preserve">Decision sample — M-DLP-PART</t>
  </si>
  <si>
    <t xml:space="preserve">Role families — M-C1-MGR</t>
  </si>
  <si>
    <t xml:space="preserve">Team</t>
  </si>
  <si>
    <t xml:space="preserve">FTE</t>
  </si>
  <si>
    <t xml:space="preserve">Decision type</t>
  </si>
  <si>
    <t xml:space="preserve">Decision ID</t>
  </si>
  <si>
    <t xml:space="preserve">Class</t>
  </si>
  <si>
    <t xml:space="preserve">Role family</t>
  </si>
  <si>
    <t xml:space="preserve">Req. skills</t>
  </si>
  <si>
    <t xml:space="preserve">Import — Main Survey (all-member)</t>
  </si>
  <si>
    <t xml:space="preserve">Paste the export (data rows only) into row 5 onward. Columns follow Blueprint order. Row 3 = reverse flag (screening only); row 4 = item ID. Blank module columns stay empty when not deployed.</t>
  </si>
  <si>
    <t xml:space="preserve">F</t>
  </si>
  <si>
    <t xml:space="preserve">R</t>
  </si>
  <si>
    <t xml:space="preserve">Timestamp</t>
  </si>
  <si>
    <t xml:space="preserve">CII-01</t>
  </si>
  <si>
    <t xml:space="preserve">CII-02</t>
  </si>
  <si>
    <t xml:space="preserve">CII-03</t>
  </si>
  <si>
    <t xml:space="preserve">CII-04</t>
  </si>
  <si>
    <t xml:space="preserve">CII-05</t>
  </si>
  <si>
    <t xml:space="preserve">CII-06</t>
  </si>
  <si>
    <t xml:space="preserve">CII-07</t>
  </si>
  <si>
    <t xml:space="preserve">CII-08</t>
  </si>
  <si>
    <t xml:space="preserve">CII-09</t>
  </si>
  <si>
    <t xml:space="preserve">CII-10</t>
  </si>
  <si>
    <t xml:space="preserve">CII-11</t>
  </si>
  <si>
    <t xml:space="preserve">CII-12</t>
  </si>
  <si>
    <t xml:space="preserve">CII-13</t>
  </si>
  <si>
    <t xml:space="preserve">CII-14</t>
  </si>
  <si>
    <t xml:space="preserve">CII-15</t>
  </si>
  <si>
    <t xml:space="preserve">MI1-01</t>
  </si>
  <si>
    <t xml:space="preserve">MI1-02</t>
  </si>
  <si>
    <t xml:space="preserve">MI1-03</t>
  </si>
  <si>
    <t xml:space="preserve">MI1-04</t>
  </si>
  <si>
    <t xml:space="preserve">MI1-05</t>
  </si>
  <si>
    <t xml:space="preserve">MI1-06</t>
  </si>
  <si>
    <t xml:space="preserve">MI1-07</t>
  </si>
  <si>
    <t xml:space="preserve">MI1-08</t>
  </si>
  <si>
    <t xml:space="preserve">MI2-01</t>
  </si>
  <si>
    <t xml:space="preserve">MI2-02</t>
  </si>
  <si>
    <t xml:space="preserve">MI2-03</t>
  </si>
  <si>
    <t xml:space="preserve">MI2-04</t>
  </si>
  <si>
    <t xml:space="preserve">MI2-05</t>
  </si>
  <si>
    <t xml:space="preserve">MI3-01</t>
  </si>
  <si>
    <t xml:space="preserve">MI3-02</t>
  </si>
  <si>
    <t xml:space="preserve">MI3-03</t>
  </si>
  <si>
    <t xml:space="preserve">MI3-04</t>
  </si>
  <si>
    <t xml:space="preserve">MI3-05</t>
  </si>
  <si>
    <t xml:space="preserve">MI4-01</t>
  </si>
  <si>
    <t xml:space="preserve">MI4-02</t>
  </si>
  <si>
    <t xml:space="preserve">MI4-03</t>
  </si>
  <si>
    <t xml:space="preserve">MI4-04</t>
  </si>
  <si>
    <t xml:space="preserve">TW-01</t>
  </si>
  <si>
    <t xml:space="preserve">TW-02</t>
  </si>
  <si>
    <t xml:space="preserve">TW-03</t>
  </si>
  <si>
    <t xml:space="preserve">OI1-01</t>
  </si>
  <si>
    <t xml:space="preserve">OI1-02</t>
  </si>
  <si>
    <t xml:space="preserve">OI1-03</t>
  </si>
  <si>
    <t xml:space="preserve">OI1-04</t>
  </si>
  <si>
    <t xml:space="preserve">OI1-05</t>
  </si>
  <si>
    <t xml:space="preserve">OI1-06</t>
  </si>
  <si>
    <t xml:space="preserve">OI1-07</t>
  </si>
  <si>
    <t xml:space="preserve">OI1-08</t>
  </si>
  <si>
    <t xml:space="preserve">OI2-01</t>
  </si>
  <si>
    <t xml:space="preserve">OI2-02</t>
  </si>
  <si>
    <t xml:space="preserve">OI2-03</t>
  </si>
  <si>
    <t xml:space="preserve">OI2-04</t>
  </si>
  <si>
    <t xml:space="preserve">OI3-01</t>
  </si>
  <si>
    <t xml:space="preserve">OI3-02</t>
  </si>
  <si>
    <t xml:space="preserve">OI3-03</t>
  </si>
  <si>
    <t xml:space="preserve">OI3-04</t>
  </si>
  <si>
    <t xml:space="preserve">OI3-05</t>
  </si>
  <si>
    <t xml:space="preserve">OI4-01</t>
  </si>
  <si>
    <t xml:space="preserve">OI4-02</t>
  </si>
  <si>
    <t xml:space="preserve">OI4-03</t>
  </si>
  <si>
    <t xml:space="preserve">OI5-01</t>
  </si>
  <si>
    <t xml:space="preserve">OI5-02</t>
  </si>
  <si>
    <t xml:space="preserve">OI5-03</t>
  </si>
  <si>
    <t xml:space="preserve">TSI2-01</t>
  </si>
  <si>
    <t xml:space="preserve">TSI2-02</t>
  </si>
  <si>
    <t xml:space="preserve">TSI2-03</t>
  </si>
  <si>
    <t xml:space="preserve">TSI3-01</t>
  </si>
  <si>
    <t xml:space="preserve">TSI3-02</t>
  </si>
  <si>
    <t xml:space="preserve">TSI3-03</t>
  </si>
  <si>
    <t xml:space="preserve">TSI3-04</t>
  </si>
  <si>
    <t xml:space="preserve">TSI3-05</t>
  </si>
  <si>
    <t xml:space="preserve">O1C-01</t>
  </si>
  <si>
    <t xml:space="preserve">O1C-02</t>
  </si>
  <si>
    <t xml:space="preserve">O1C-03</t>
  </si>
  <si>
    <t xml:space="preserve">O1C-04</t>
  </si>
  <si>
    <t xml:space="preserve">O1C-05</t>
  </si>
  <si>
    <t xml:space="preserve">O2I-01</t>
  </si>
  <si>
    <t xml:space="preserve">O2I-02</t>
  </si>
  <si>
    <t xml:space="preserve">O2I-03</t>
  </si>
  <si>
    <t xml:space="preserve">O2I-04</t>
  </si>
  <si>
    <t xml:space="preserve">O2I-05</t>
  </si>
  <si>
    <t xml:space="preserve">O2I-06</t>
  </si>
  <si>
    <t xml:space="preserve">O2I-07</t>
  </si>
  <si>
    <t xml:space="preserve">P1 O3P-01</t>
  </si>
  <si>
    <t xml:space="preserve">P1 O3P-02</t>
  </si>
  <si>
    <t xml:space="preserve">P1 O3P-03</t>
  </si>
  <si>
    <t xml:space="preserve">P1 O3P-04</t>
  </si>
  <si>
    <t xml:space="preserve">P1 O3P-05</t>
  </si>
  <si>
    <t xml:space="preserve">P1 O3P-06</t>
  </si>
  <si>
    <t xml:space="preserve">P1 O3P-07</t>
  </si>
  <si>
    <t xml:space="preserve">P2 O3P-01</t>
  </si>
  <si>
    <t xml:space="preserve">P2 O3P-02</t>
  </si>
  <si>
    <t xml:space="preserve">P2 O3P-03</t>
  </si>
  <si>
    <t xml:space="preserve">P2 O3P-04</t>
  </si>
  <si>
    <t xml:space="preserve">P2 O3P-05</t>
  </si>
  <si>
    <t xml:space="preserve">P2 O3P-06</t>
  </si>
  <si>
    <t xml:space="preserve">P2 O3P-07</t>
  </si>
  <si>
    <t xml:space="preserve">P3 O3P-01</t>
  </si>
  <si>
    <t xml:space="preserve">P3 O3P-02</t>
  </si>
  <si>
    <t xml:space="preserve">P3 O3P-03</t>
  </si>
  <si>
    <t xml:space="preserve">P3 O3P-04</t>
  </si>
  <si>
    <t xml:space="preserve">P3 O3P-05</t>
  </si>
  <si>
    <t xml:space="preserve">P3 O3P-06</t>
  </si>
  <si>
    <t xml:space="preserve">P3 O3P-07</t>
  </si>
  <si>
    <t xml:space="preserve">Import — Manager Survey (M-C1-MGR, M-C3-MGR)</t>
  </si>
  <si>
    <t xml:space="preserve">One row per direct report. Paste / enter columns A to S. Reshape the raw manager form into this long layout. Skills blank where not used.</t>
  </si>
  <si>
    <t xml:space="preserve">Manager ID</t>
  </si>
  <si>
    <t xml:space="preserve">Direct report</t>
  </si>
  <si>
    <t xml:space="preserve">Skill 01</t>
  </si>
  <si>
    <t xml:space="preserve">Skill 02</t>
  </si>
  <si>
    <t xml:space="preserve">Skill 03</t>
  </si>
  <si>
    <t xml:space="preserve">Skill 04</t>
  </si>
  <si>
    <t xml:space="preserve">Skill 05</t>
  </si>
  <si>
    <t xml:space="preserve">Skill 06</t>
  </si>
  <si>
    <t xml:space="preserve">Skill 07</t>
  </si>
  <si>
    <t xml:space="preserve">Skill 08</t>
  </si>
  <si>
    <t xml:space="preserve">Skill 09</t>
  </si>
  <si>
    <t xml:space="preserve">Skill 10</t>
  </si>
  <si>
    <t xml:space="preserve">Skill 11</t>
  </si>
  <si>
    <t xml:space="preserve">Skill 12</t>
  </si>
  <si>
    <t xml:space="preserve">Skill 13</t>
  </si>
  <si>
    <t xml:space="preserve">Skill 14</t>
  </si>
  <si>
    <t xml:space="preserve">Skill 15</t>
  </si>
  <si>
    <t xml:space="preserve">C3 Band (1-5)</t>
  </si>
  <si>
    <t xml:space="preserve">C1 coverage</t>
  </si>
  <si>
    <t xml:space="preserve">New mgr?</t>
  </si>
  <si>
    <t xml:space="preserve">Import — Leadership Survey (M-O1-LT, decision rights)</t>
  </si>
  <si>
    <t xml:space="preserve">One row per respondent per decision. Enter A to H. Helper columns I to N are calculated.</t>
  </si>
  <si>
    <t xml:space="preserve">Respondent</t>
  </si>
  <si>
    <t xml:space="preserve">Recommend</t>
  </si>
  <si>
    <t xml:space="preserve">Agree</t>
  </si>
  <si>
    <t xml:space="preserve">Perform</t>
  </si>
  <si>
    <t xml:space="preserve">Input</t>
  </si>
  <si>
    <t xml:space="preserve">Decides</t>
  </si>
  <si>
    <t xml:space="preserve">Clarity (1-5)</t>
  </si>
  <si>
    <t xml:space="preserve">cntR</t>
  </si>
  <si>
    <t xml:space="preserve">cntA</t>
  </si>
  <si>
    <t xml:space="preserve">cntP</t>
  </si>
  <si>
    <t xml:space="preserve">cntI</t>
  </si>
  <si>
    <t xml:space="preserve">cntD</t>
  </si>
  <si>
    <t xml:space="preserve">New resp?</t>
  </si>
  <si>
    <t xml:space="preserve">Import — Team-Leader Survey (M-C5-TL, learning velocity)</t>
  </si>
  <si>
    <t xml:space="preserve">One row per team leader. Enter the 12 calibrated items (1-5). Per-leader score is calculated.</t>
  </si>
  <si>
    <t xml:space="preserve">Team leader</t>
  </si>
  <si>
    <t xml:space="preserve">C5L-01</t>
  </si>
  <si>
    <t xml:space="preserve">C5L-02</t>
  </si>
  <si>
    <t xml:space="preserve">C5L-03</t>
  </si>
  <si>
    <t xml:space="preserve">C5L-04</t>
  </si>
  <si>
    <t xml:space="preserve">C5L-05</t>
  </si>
  <si>
    <t xml:space="preserve">C5L-06</t>
  </si>
  <si>
    <t xml:space="preserve">C5L-07</t>
  </si>
  <si>
    <t xml:space="preserve">C5L-08</t>
  </si>
  <si>
    <t xml:space="preserve">C5L-09</t>
  </si>
  <si>
    <t xml:space="preserve">C5L-10</t>
  </si>
  <si>
    <t xml:space="preserve">C5L-11</t>
  </si>
  <si>
    <t xml:space="preserve">C5L-12</t>
  </si>
  <si>
    <t xml:space="preserve">Per-leader score</t>
  </si>
  <si>
    <t xml:space="preserve">Import — DLP Survey (M-DLP-PART, decision latency)</t>
  </si>
  <si>
    <t xml:space="preserve">One row per respondent per decision. Enter A to F. Latency and distinct-respondent flag are calculated.</t>
  </si>
  <si>
    <t xml:space="preserve">Date identified (DLP-01)</t>
  </si>
  <si>
    <t xml:space="preserve">Date authorised (DLP-02)</t>
  </si>
  <si>
    <t xml:space="preserve">Quality (1-3)</t>
  </si>
  <si>
    <t xml:space="preserve">Notes (pathway/delay/systemic)</t>
  </si>
  <si>
    <t xml:space="preserve">Latency (days)</t>
  </si>
  <si>
    <t xml:space="preserve">Response Screening (main survey)</t>
  </si>
  <si>
    <t xml:space="preserve">Validity flag per respondent. Means and all-member modules compute over VALID rows only. Speed-clicking not available on Google Forms (see footer).</t>
  </si>
  <si>
    <t xml:space="preserve">Row</t>
  </si>
  <si>
    <t xml:space="preserve">Answered</t>
  </si>
  <si>
    <t xml:space="preserve">Fwd mean (raw)</t>
  </si>
  <si>
    <t xml:space="preserve">Rev mean (raw)</t>
  </si>
  <si>
    <t xml:space="preserve">Max</t>
  </si>
  <si>
    <t xml:space="preserve">Min</t>
  </si>
  <si>
    <t xml:space="preserve">All-same</t>
  </si>
  <si>
    <t xml:space="preserve">Straight-lining</t>
  </si>
  <si>
    <t xml:space="preserve">VALID</t>
  </si>
  <si>
    <t xml:space="preserve">Screening summary</t>
  </si>
  <si>
    <t xml:space="preserve">Valid respondents</t>
  </si>
  <si>
    <t xml:space="preserve">Responses received</t>
  </si>
  <si>
    <t xml:space="preserve">Excluded (count)</t>
  </si>
  <si>
    <t xml:space="preserve">Excluded (rate)</t>
  </si>
  <si>
    <t xml:space="preserve">Headcount reconciliation</t>
  </si>
  <si>
    <t xml:space="preserve">Type A Item Means (raw, un-flipped)</t>
  </si>
  <si>
    <t xml:space="preserve">Mean per item over VALID respondents, 1.00-5.00. The Diagnostic Workbook flips reverse items and applies (mean-1)x25. Do not flip or convert here.</t>
  </si>
  <si>
    <t xml:space="preserve">Sub-dimension</t>
  </si>
  <si>
    <t xml:space="preserve">Item</t>
  </si>
  <si>
    <t xml:space="preserve">Raw mean</t>
  </si>
  <si>
    <t xml:space="preserve">Reverse?</t>
  </si>
  <si>
    <t xml:space="preserve">Response rate</t>
  </si>
  <si>
    <t xml:space="preserve">Flag</t>
  </si>
  <si>
    <t xml:space="preserve">C4</t>
  </si>
  <si>
    <t xml:space="preserve">M1</t>
  </si>
  <si>
    <t xml:space="preserve">M2</t>
  </si>
  <si>
    <t xml:space="preserve">M3</t>
  </si>
  <si>
    <t xml:space="preserve">M4</t>
  </si>
  <si>
    <t xml:space="preserve">TW</t>
  </si>
  <si>
    <t xml:space="preserve">O1</t>
  </si>
  <si>
    <t xml:space="preserve">O2</t>
  </si>
  <si>
    <t xml:space="preserve">O3</t>
  </si>
  <si>
    <t xml:space="preserve">O4</t>
  </si>
  <si>
    <t xml:space="preserve">O5</t>
  </si>
  <si>
    <t xml:space="preserve">S2</t>
  </si>
  <si>
    <t xml:space="preserve">S3</t>
  </si>
  <si>
    <t xml:space="preserve">CII team-level (C4) — 15 item means per team</t>
  </si>
  <si>
    <t xml:space="preserve">Per-team means feed the Diagnostic Workbook optional team-level C4 block (FTE-weighted to unit). Teams below 4 valid or 70% are flagged.</t>
  </si>
  <si>
    <t xml:space="preserve">Valid n</t>
  </si>
  <si>
    <t xml:space="preserve">Rate</t>
  </si>
  <si>
    <t xml:space="preserve">O5 per-team (leadership enablement) — (team OI5 mean - 1) x 25; FTE-weighted to unit O5 in the Diagnostic Workbook</t>
  </si>
  <si>
    <t xml:space="preserve">OI5 has no reverse items. Per-team score and FTE paste into the Diagnostic Workbook O5 tab, which FTE-weights them to unit O5.</t>
  </si>
  <si>
    <t xml:space="preserve">O5 score</t>
  </si>
  <si>
    <t xml:space="preserve">Type C Module Scoring (finished 0-100 unless noted)</t>
  </si>
  <si>
    <t xml:space="preserve">Bespoke module rules (Tier 3 Module Library). House convention (mean-1)x25. Reverse items flipped HERE because these are finished scores, not Type A means.</t>
  </si>
  <si>
    <t xml:space="preserve">6.1  M-O1-LT — Decision Rights (leadership)</t>
  </si>
  <si>
    <t xml:space="preserve">n</t>
  </si>
  <si>
    <t xml:space="preserve">agreeR</t>
  </si>
  <si>
    <t xml:space="preserve">agreeA</t>
  </si>
  <si>
    <t xml:space="preserve">agreeP</t>
  </si>
  <si>
    <t xml:space="preserve">agreeI</t>
  </si>
  <si>
    <t xml:space="preserve">agreeD</t>
  </si>
  <si>
    <t xml:space="preserve">Dec. agree</t>
  </si>
  <si>
    <t xml:space="preserve">Per-decision clarity (house convention)</t>
  </si>
  <si>
    <t xml:space="preserve">Clarity 0-100</t>
  </si>
  <si>
    <t xml:space="preserve">Aggregate agreement</t>
  </si>
  <si>
    <t xml:space="preserve">Aggregate clarity (0-100)</t>
  </si>
  <si>
    <t xml:space="preserve">Leadership response rate</t>
  </si>
  <si>
    <t xml:space="preserve">M-O1-LT score</t>
  </si>
  <si>
    <t xml:space="preserve">6.2-6.4  Structural modules — M-O1-CASCADE, M-O2-IA, M-O3-PF</t>
  </si>
  <si>
    <t xml:space="preserve">Component scores only. The Diagnostic Workbook assembles the O1/O2/O3 structural composites. Reverse items flipped here (finished score).</t>
  </si>
  <si>
    <t xml:space="preserve">Module</t>
  </si>
  <si>
    <t xml:space="preserve">Score 0-100</t>
  </si>
  <si>
    <t xml:space="preserve">M-O1-CASCADE</t>
  </si>
  <si>
    <t xml:space="preserve">M-O2-IA</t>
  </si>
  <si>
    <t xml:space="preserve">  Process 1 score</t>
  </si>
  <si>
    <t xml:space="preserve">  Process 2 score</t>
  </si>
  <si>
    <t xml:space="preserve">  Process 3 score</t>
  </si>
  <si>
    <t xml:space="preserve">M-O3-PF (mean across processes)</t>
  </si>
  <si>
    <t xml:space="preserve">6.5  M-C1-MGR — Manager Capability (skill coverage)</t>
  </si>
  <si>
    <t xml:space="preserve">Coverage</t>
  </si>
  <si>
    <t xml:space="preserve">Audit-sample adjustment</t>
  </si>
  <si>
    <t xml:space="preserve">Manager response rate</t>
  </si>
  <si>
    <t xml:space="preserve">M-C1-MGR score</t>
  </si>
  <si>
    <t xml:space="preserve">6.6  M-C3-MGR — Talent Calibration (adjusted band counts, Type B)</t>
  </si>
  <si>
    <t xml:space="preserve">Band</t>
  </si>
  <si>
    <t xml:space="preserve">Raw count</t>
  </si>
  <si>
    <t xml:space="preserve">After cap-5</t>
  </si>
  <si>
    <t xml:space="preserve">After skew</t>
  </si>
  <si>
    <t xml:space="preserve">Override</t>
  </si>
  <si>
    <t xml:space="preserve">FINAL</t>
  </si>
  <si>
    <t xml:space="preserve">Band 1</t>
  </si>
  <si>
    <t xml:space="preserve">Band 2</t>
  </si>
  <si>
    <t xml:space="preserve">Band 3</t>
  </si>
  <si>
    <t xml:space="preserve">Band 4</t>
  </si>
  <si>
    <t xml:space="preserve">Band 5</t>
  </si>
  <si>
    <t xml:space="preserve">Total rated</t>
  </si>
  <si>
    <t xml:space="preserve">Raw mean band</t>
  </si>
  <si>
    <t xml:space="preserve">Band 1 floor check</t>
  </si>
  <si>
    <t xml:space="preserve">Manager response rate (C3)</t>
  </si>
  <si>
    <t xml:space="preserve">6.7  M-C5-TL — Learning Velocity (team leaders)</t>
  </si>
  <si>
    <t xml:space="preserve">Team-leader response rate</t>
  </si>
  <si>
    <t xml:space="preserve">M-C5-TL score</t>
  </si>
  <si>
    <t xml:space="preserve">6.8  M-C2-KDS — Knowledge (per-domain scores, Type B)</t>
  </si>
  <si>
    <t xml:space="preserve">Compact per-domain intake (rare, bespoke quiz). Per-domain score and coverage are passed to the Diagnostic Workbook, which does the criticality-weighted C2 average.</t>
  </si>
  <si>
    <t xml:space="preserve">Domain</t>
  </si>
  <si>
    <t xml:space="preserve"># items</t>
  </si>
  <si>
    <t xml:space="preserve"># respondents</t>
  </si>
  <si>
    <t xml:space="preserve"># correct (sum)</t>
  </si>
  <si>
    <t xml:space="preserve">Criticality (1-3)</t>
  </si>
  <si>
    <t xml:space="preserve">6.9  M-DLP-PART — Decision Latencies (per decision)</t>
  </si>
  <si>
    <t xml:space="preserve">Latency in days per sampled decision. Class from Tab 1. The Diagnostic Workbook scores latencies to DLS (percentile banding needs the full sample).</t>
  </si>
  <si>
    <t xml:space="preserve">Quality (mean)</t>
  </si>
  <si>
    <t xml:space="preserve">n responses</t>
  </si>
  <si>
    <t xml:space="preserve">DLP participant response rate</t>
  </si>
  <si>
    <t xml:space="preserve">Layer 2 Inputs (analyst, no respondent)</t>
  </si>
  <si>
    <t xml:space="preserve">Recorded here so every value feeding the Diagnostic Workbook is assembled in one place. The Diagnostic Workbook still does the S1, O4 and structural assembly.</t>
  </si>
  <si>
    <t xml:space="preserve">Value</t>
  </si>
  <si>
    <t xml:space="preserve">Note (for methodology footer)</t>
  </si>
  <si>
    <t xml:space="preserve">O1 role-architecture doc-review score (0-100)</t>
  </si>
  <si>
    <t xml:space="preserve">O2 tool-inventory doc-review score (0-100)</t>
  </si>
  <si>
    <t xml:space="preserve">O2 integration doc-review score (0-100)</t>
  </si>
  <si>
    <t xml:space="preserve">S1 skill-complementarity input</t>
  </si>
  <si>
    <t xml:space="preserve">O4 capacity-analysis score (0-100)</t>
  </si>
  <si>
    <t xml:space="preserve">Output — Diagnostic Workbook Inputs</t>
  </si>
  <si>
    <t xml:space="preserve">Paste-ready block, mapped to the Diagnostic Workbook tabs. Green = pulled from this workbook. Copy each labelled group into its destination cell-group.</t>
  </si>
  <si>
    <t xml:space="preserve">Destination / value</t>
  </si>
  <si>
    <t xml:space="preserve">Type</t>
  </si>
  <si>
    <t xml:space="preserve">Diagnostic Workbook Tab 3 — Capability</t>
  </si>
  <si>
    <t xml:space="preserve">C1 (Tier 3 route): M-C1-MGR score</t>
  </si>
  <si>
    <t xml:space="preserve">C</t>
  </si>
  <si>
    <t xml:space="preserve">C2: per-domain scores / coverage / criticality (Type B)</t>
  </si>
  <si>
    <t xml:space="preserve">see Type C 6.8</t>
  </si>
  <si>
    <t xml:space="preserve">C3: adjusted band counts (Type B)</t>
  </si>
  <si>
    <t xml:space="preserve">  Band 1</t>
  </si>
  <si>
    <t xml:space="preserve">B</t>
  </si>
  <si>
    <t xml:space="preserve">  Band 2</t>
  </si>
  <si>
    <t xml:space="preserve">  Band 3</t>
  </si>
  <si>
    <t xml:space="preserve">  Band 4</t>
  </si>
  <si>
    <t xml:space="preserve">  Band 5</t>
  </si>
  <si>
    <t xml:space="preserve">C5 (Tier 3 route): M-C5-TL score</t>
  </si>
  <si>
    <t xml:space="preserve">C4 (CII): 15 item means per team on '8 Type A Means' (team block)</t>
  </si>
  <si>
    <t xml:space="preserve">A</t>
  </si>
  <si>
    <t xml:space="preserve">Diagnostic Workbook Tab 4 — Motivation (item means, raw)</t>
  </si>
  <si>
    <t xml:space="preserve">A raw mean</t>
  </si>
  <si>
    <t xml:space="preserve">Diagnostic Workbook Tab 5 — Opportunity</t>
  </si>
  <si>
    <t xml:space="preserve">  O1 structural: M-O1-LT</t>
  </si>
  <si>
    <t xml:space="preserve">  O1 structural: M-O1-CASCADE</t>
  </si>
  <si>
    <t xml:space="preserve">  O1 structural: role-architecture (Layer 2)</t>
  </si>
  <si>
    <t xml:space="preserve">L2</t>
  </si>
  <si>
    <t xml:space="preserve">  O2 structural: M-O2-IA</t>
  </si>
  <si>
    <t xml:space="preserve">  O2 structural: tool-inventory (Layer 2)</t>
  </si>
  <si>
    <t xml:space="preserve">  O2 structural: integration (Layer 2)</t>
  </si>
  <si>
    <t xml:space="preserve">  O3 structural: M-O3-PF</t>
  </si>
  <si>
    <t xml:space="preserve">  O4 capacity-analysis score (Layer 2, Type C 0-100)</t>
  </si>
  <si>
    <t xml:space="preserve">O5 (leadership enablement) — per team, FTE-weighted in the Diagnostic Workbook</t>
  </si>
  <si>
    <t xml:space="preserve">C per team</t>
  </si>
  <si>
    <t xml:space="preserve">Diagnostic Workbook Tab 6 — Synergy</t>
  </si>
  <si>
    <t xml:space="preserve">S1: complementarity input (Layer 2)</t>
  </si>
  <si>
    <t xml:space="preserve">Diagnostic Workbook Tab 7 — DLP (per-decision latencies)</t>
  </si>
  <si>
    <t xml:space="preserve">Decision ID / class / latency / quality on '9 Type C Scoring' 6.9</t>
  </si>
  <si>
    <t xml:space="preserve">latencies</t>
  </si>
  <si>
    <t xml:space="preserve">Methodology footer (metadata for the Diagnostic Workbook)</t>
  </si>
  <si>
    <t xml:space="preserve">Valid respondents (main)</t>
  </si>
  <si>
    <t xml:space="preserve">meta</t>
  </si>
  <si>
    <t xml:space="preserve">Responses received (main)</t>
  </si>
  <si>
    <t xml:space="preserve">Speed-clicking check</t>
  </si>
  <si>
    <t xml:space="preserve">not available on Google Forms</t>
  </si>
  <si>
    <t xml:space="preserve">Reference — constants and maps</t>
  </si>
  <si>
    <t xml:space="preserve">Read by the formulas. Do not edit unless the underlying standard changes.</t>
  </si>
  <si>
    <t xml:space="preserve">Reporting thresholds</t>
  </si>
  <si>
    <t xml:space="preserve">All-member response rate</t>
  </si>
  <si>
    <t xml:space="preserve">CII per-team response rate</t>
  </si>
  <si>
    <t xml:space="preserve">CII minimum valid per team</t>
  </si>
  <si>
    <t xml:space="preserve">Quarterly pulse minimum (per unit)</t>
  </si>
  <si>
    <t xml:space="preserve">Half-yearly minimum (per unit)</t>
  </si>
  <si>
    <t xml:space="preserve">Adjustment parameters</t>
  </si>
  <si>
    <t xml:space="preserve">C3 Band 5 cap (share)</t>
  </si>
  <si>
    <t xml:space="preserve">C3 skew mean trigger</t>
  </si>
  <si>
    <t xml:space="preserve">C3 skew shift</t>
  </si>
  <si>
    <t xml:space="preserve">C3 Band 1 floor (share)</t>
  </si>
  <si>
    <t xml:space="preserve">C1 proficiency threshold (default)</t>
  </si>
  <si>
    <t xml:space="preserve">Reverse-scored items (screening detection only — never flip output means)</t>
  </si>
  <si>
    <t xml:space="preserve">CII-05, CII-10, CII-15, MI1-04, MI2-05, MI3-04, MI4-04, OI1-03, OI1-06, OI2-04, OI3-05, OI4-03, TSI2-03, TSI3-04, TSI3-05; module items O1C-05, O2I-03, O2I-04, O2I-06, O3P-04</t>
  </si>
  <si>
    <t xml:space="preserve">Decision classes (DLP)</t>
  </si>
  <si>
    <t xml:space="preserve">operational / tactical / strategic — the latency-to-DLS weighting is applied in the Diagnostic Workbook, not here.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</si>
</sst>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0"/>
    <numFmt numFmtId="167" formatCode="yyyy\-mm\-dd"/>
    <numFmt numFmtId="168" formatCode="0.0%"/>
    <numFmt numFmtId="169" formatCode="0%"/>
    <numFmt numFmtId="170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1F3A52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8"/>
      <color rgb="FF5C667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5C6670"/>
      <name val="Arial"/>
      <family val="0"/>
      <charset val="1"/>
    </font>
    <font>
      <sz val="9"/>
      <color rgb="FF0000FF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A52"/>
        <bgColor rgb="FF003366"/>
      </patternFill>
    </fill>
    <fill>
      <patternFill patternType="solid">
        <fgColor rgb="FFF2ECDF"/>
        <bgColor rgb="FFEFEFEF"/>
      </patternFill>
    </fill>
    <fill>
      <patternFill patternType="solid">
        <fgColor rgb="FFFFFDF5"/>
        <bgColor rgb="FFFFFFFF"/>
      </patternFill>
    </fill>
    <fill>
      <patternFill patternType="solid">
        <fgColor rgb="FFE8ECF0"/>
        <bgColor rgb="FFEFEFEF"/>
      </patternFill>
    </fill>
    <fill>
      <patternFill patternType="solid">
        <fgColor rgb="FF5C6670"/>
        <bgColor rgb="FF808080"/>
      </patternFill>
    </fill>
    <fill>
      <patternFill patternType="solid">
        <fgColor rgb="FFEFEFEF"/>
        <bgColor rgb="FFE8EC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7" fillId="4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808080"/>
      <rgbColor rgb="FF9999FF"/>
      <rgbColor rgb="FF993366"/>
      <rgbColor rgb="FFFFFDF5"/>
      <rgbColor rgb="FFE8EC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F2ECD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67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3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3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10" min="9" style="0" width="3"/>
    <col collapsed="false" customWidth="true" hidden="false" outlineLevel="0" max="11" min="11" style="0" width="20"/>
    <col collapsed="false" customWidth="true" hidden="false" outlineLevel="0" max="12" min="12" style="0" width="8"/>
    <col collapsed="false" customWidth="true" hidden="false" outlineLevel="0" max="13" min="13" style="0" width="1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true" outlineLevel="0" collapsed="false">
      <c r="A5" s="4" t="s">
        <v>3</v>
      </c>
      <c r="B5" s="5" t="s">
        <v>4</v>
      </c>
      <c r="C5" s="5"/>
      <c r="D5" s="5"/>
      <c r="E5" s="5"/>
      <c r="F5" s="5"/>
    </row>
    <row r="6" customFormat="false" ht="23.85" hidden="false" customHeight="true" outlineLevel="0" collapsed="false">
      <c r="A6" s="6" t="s">
        <v>5</v>
      </c>
      <c r="B6" s="5" t="s">
        <v>6</v>
      </c>
      <c r="C6" s="5"/>
      <c r="D6" s="5"/>
      <c r="E6" s="5"/>
      <c r="F6" s="5"/>
    </row>
    <row r="7" customFormat="false" ht="15" hidden="false" customHeight="true" outlineLevel="0" collapsed="false">
      <c r="A7" s="7" t="s">
        <v>7</v>
      </c>
      <c r="B7" s="5" t="s">
        <v>8</v>
      </c>
      <c r="C7" s="5"/>
      <c r="D7" s="5"/>
      <c r="E7" s="5"/>
      <c r="F7" s="5"/>
    </row>
    <row r="9" customFormat="false" ht="23.85" hidden="false" customHeight="true" outlineLevel="0" collapsed="false">
      <c r="A9" s="8" t="s">
        <v>9</v>
      </c>
      <c r="B9" s="8"/>
      <c r="C9" s="8"/>
      <c r="D9" s="8"/>
      <c r="E9" s="8"/>
      <c r="F9" s="8"/>
    </row>
    <row r="10" customFormat="false" ht="19.4" hidden="false" customHeight="true" outlineLevel="0" collapsed="false">
      <c r="A10" s="9" t="s">
        <v>10</v>
      </c>
      <c r="B10" s="9"/>
      <c r="C10" s="9"/>
      <c r="D10" s="9"/>
      <c r="E10" s="9"/>
      <c r="F10" s="9"/>
    </row>
    <row r="11" customFormat="false" ht="15" hidden="false" customHeight="true" outlineLevel="0" collapsed="false">
      <c r="A11" s="9" t="s">
        <v>11</v>
      </c>
      <c r="B11" s="9"/>
      <c r="C11" s="9"/>
      <c r="D11" s="9"/>
      <c r="E11" s="9"/>
      <c r="F11" s="9"/>
    </row>
    <row r="12" customFormat="false" ht="15" hidden="false" customHeight="true" outlineLevel="0" collapsed="false">
      <c r="A12" s="9" t="s">
        <v>12</v>
      </c>
      <c r="B12" s="9"/>
      <c r="C12" s="9"/>
      <c r="D12" s="9"/>
      <c r="E12" s="9"/>
      <c r="F12" s="9"/>
    </row>
    <row r="14" customFormat="false" ht="15" hidden="false" customHeight="true" outlineLevel="0" collapsed="false">
      <c r="A14" s="10" t="s">
        <v>13</v>
      </c>
      <c r="B14" s="10"/>
      <c r="C14" s="10"/>
      <c r="D14" s="10"/>
      <c r="E14" s="10"/>
      <c r="F14" s="10"/>
    </row>
    <row r="15" customFormat="false" ht="15" hidden="false" customHeight="true" outlineLevel="0" collapsed="false">
      <c r="A15" s="11" t="s">
        <v>14</v>
      </c>
      <c r="B15" s="12" t="s">
        <v>15</v>
      </c>
      <c r="C15" s="12"/>
      <c r="D15" s="12"/>
    </row>
    <row r="16" customFormat="false" ht="15" hidden="false" customHeight="false" outlineLevel="0" collapsed="false">
      <c r="A16" s="11" t="s">
        <v>16</v>
      </c>
      <c r="B16" s="13"/>
      <c r="C16" s="13"/>
      <c r="D16" s="13"/>
    </row>
    <row r="17" customFormat="false" ht="23.85" hidden="false" customHeight="true" outlineLevel="0" collapsed="false">
      <c r="A17" s="11" t="s">
        <v>17</v>
      </c>
      <c r="B17" s="12" t="s">
        <v>18</v>
      </c>
      <c r="C17" s="12"/>
      <c r="D17" s="12"/>
    </row>
    <row r="19" customFormat="false" ht="15" hidden="false" customHeight="true" outlineLevel="0" collapsed="false">
      <c r="A19" s="8" t="s">
        <v>19</v>
      </c>
      <c r="B19" s="8"/>
      <c r="C19" s="8"/>
      <c r="D19" s="8"/>
      <c r="E19" s="8"/>
      <c r="F19" s="8"/>
    </row>
    <row r="20" customFormat="false" ht="15" hidden="false" customHeight="false" outlineLevel="0" collapsed="false">
      <c r="A20" s="14" t="s">
        <v>20</v>
      </c>
      <c r="B20" s="13"/>
    </row>
    <row r="21" customFormat="false" ht="15" hidden="false" customHeight="false" outlineLevel="0" collapsed="false">
      <c r="A21" s="14" t="s">
        <v>21</v>
      </c>
      <c r="B21" s="13"/>
    </row>
    <row r="22" customFormat="false" ht="15" hidden="false" customHeight="false" outlineLevel="0" collapsed="false">
      <c r="A22" s="14" t="s">
        <v>22</v>
      </c>
      <c r="B22" s="13"/>
    </row>
    <row r="23" customFormat="false" ht="15" hidden="false" customHeight="false" outlineLevel="0" collapsed="false">
      <c r="A23" s="14" t="s">
        <v>23</v>
      </c>
      <c r="B23" s="13"/>
    </row>
    <row r="24" customFormat="false" ht="15" hidden="false" customHeight="false" outlineLevel="0" collapsed="false">
      <c r="A24" s="14" t="s">
        <v>24</v>
      </c>
      <c r="B24" s="13"/>
    </row>
    <row r="26" customFormat="false" ht="15" hidden="false" customHeight="true" outlineLevel="0" collapsed="false">
      <c r="A26" s="8" t="s">
        <v>25</v>
      </c>
      <c r="B26" s="8"/>
      <c r="C26" s="8"/>
      <c r="D26" s="8"/>
      <c r="E26" s="8"/>
      <c r="F26" s="8"/>
    </row>
    <row r="27" customFormat="false" ht="23.85" hidden="false" customHeight="false" outlineLevel="0" collapsed="false">
      <c r="A27" s="14" t="s">
        <v>26</v>
      </c>
      <c r="B27" s="13" t="n">
        <v>3</v>
      </c>
    </row>
    <row r="28" customFormat="false" ht="15" hidden="false" customHeight="true" outlineLevel="0" collapsed="false">
      <c r="A28" s="9" t="s">
        <v>27</v>
      </c>
      <c r="B28" s="9"/>
      <c r="C28" s="9"/>
      <c r="D28" s="9"/>
      <c r="E28" s="9"/>
      <c r="F28" s="9"/>
    </row>
    <row r="30" customFormat="false" ht="15" hidden="false" customHeight="true" outlineLevel="0" collapsed="false">
      <c r="A30" s="3" t="s">
        <v>28</v>
      </c>
      <c r="B30" s="3"/>
      <c r="D30" s="3" t="s">
        <v>29</v>
      </c>
      <c r="E30" s="3"/>
      <c r="G30" s="3" t="s">
        <v>30</v>
      </c>
      <c r="H30" s="3"/>
      <c r="I30" s="3"/>
      <c r="K30" s="3" t="s">
        <v>31</v>
      </c>
      <c r="L30" s="3"/>
      <c r="M30" s="3"/>
    </row>
    <row r="31" customFormat="false" ht="15" hidden="false" customHeight="false" outlineLevel="0" collapsed="false">
      <c r="A31" s="15" t="s">
        <v>32</v>
      </c>
      <c r="B31" s="15" t="s">
        <v>33</v>
      </c>
      <c r="D31" s="15" t="s">
        <v>34</v>
      </c>
      <c r="G31" s="15" t="s">
        <v>35</v>
      </c>
      <c r="H31" s="15" t="s">
        <v>36</v>
      </c>
      <c r="K31" s="15" t="s">
        <v>37</v>
      </c>
      <c r="L31" s="15" t="s">
        <v>33</v>
      </c>
      <c r="M31" s="15" t="s">
        <v>38</v>
      </c>
    </row>
    <row r="32" customFormat="false" ht="15" hidden="false" customHeight="false" outlineLevel="0" collapsed="false">
      <c r="A32" s="12"/>
      <c r="B32" s="13"/>
      <c r="D32" s="12"/>
      <c r="E32" s="12"/>
      <c r="G32" s="12"/>
      <c r="H32" s="12"/>
      <c r="K32" s="12"/>
      <c r="L32" s="13"/>
      <c r="M32" s="13"/>
    </row>
    <row r="33" customFormat="false" ht="15" hidden="false" customHeight="false" outlineLevel="0" collapsed="false">
      <c r="A33" s="12"/>
      <c r="B33" s="13"/>
      <c r="D33" s="12"/>
      <c r="G33" s="12"/>
      <c r="H33" s="12"/>
      <c r="K33" s="12"/>
      <c r="L33" s="13"/>
      <c r="M33" s="13"/>
    </row>
    <row r="34" customFormat="false" ht="15" hidden="false" customHeight="false" outlineLevel="0" collapsed="false">
      <c r="A34" s="12"/>
      <c r="B34" s="13"/>
      <c r="D34" s="12"/>
      <c r="G34" s="12"/>
      <c r="H34" s="12"/>
      <c r="K34" s="12"/>
      <c r="L34" s="13"/>
      <c r="M34" s="13"/>
    </row>
    <row r="35" customFormat="false" ht="15" hidden="false" customHeight="false" outlineLevel="0" collapsed="false">
      <c r="A35" s="12"/>
      <c r="B35" s="13"/>
      <c r="D35" s="12"/>
      <c r="G35" s="12"/>
      <c r="H35" s="12"/>
      <c r="K35" s="12"/>
      <c r="L35" s="13"/>
      <c r="M35" s="13"/>
    </row>
    <row r="36" customFormat="false" ht="15" hidden="false" customHeight="false" outlineLevel="0" collapsed="false">
      <c r="A36" s="12"/>
      <c r="B36" s="13"/>
      <c r="D36" s="12"/>
      <c r="G36" s="12"/>
      <c r="H36" s="12"/>
      <c r="K36" s="12"/>
      <c r="L36" s="13"/>
      <c r="M36" s="13"/>
    </row>
    <row r="37" customFormat="false" ht="15" hidden="false" customHeight="false" outlineLevel="0" collapsed="false">
      <c r="A37" s="12"/>
      <c r="B37" s="13"/>
      <c r="D37" s="12"/>
      <c r="G37" s="12"/>
      <c r="H37" s="12"/>
      <c r="K37" s="12"/>
      <c r="L37" s="13"/>
      <c r="M37" s="13"/>
    </row>
    <row r="38" customFormat="false" ht="15" hidden="false" customHeight="false" outlineLevel="0" collapsed="false">
      <c r="A38" s="12"/>
      <c r="B38" s="13"/>
      <c r="D38" s="12"/>
      <c r="G38" s="12"/>
      <c r="H38" s="12"/>
      <c r="K38" s="12"/>
      <c r="L38" s="13"/>
      <c r="M38" s="13"/>
    </row>
    <row r="39" customFormat="false" ht="15" hidden="false" customHeight="false" outlineLevel="0" collapsed="false">
      <c r="A39" s="12"/>
      <c r="B39" s="13"/>
      <c r="D39" s="12"/>
      <c r="G39" s="12"/>
      <c r="H39" s="12"/>
      <c r="K39" s="12"/>
      <c r="L39" s="13"/>
      <c r="M39" s="13"/>
    </row>
    <row r="40" customFormat="false" ht="15" hidden="false" customHeight="false" outlineLevel="0" collapsed="false">
      <c r="A40" s="12"/>
      <c r="B40" s="13"/>
      <c r="D40" s="12"/>
      <c r="G40" s="12"/>
      <c r="H40" s="12"/>
      <c r="K40" s="12"/>
      <c r="L40" s="13"/>
      <c r="M40" s="13"/>
    </row>
    <row r="41" customFormat="false" ht="15" hidden="false" customHeight="false" outlineLevel="0" collapsed="false">
      <c r="A41" s="12"/>
      <c r="B41" s="13"/>
      <c r="D41" s="12"/>
      <c r="G41" s="12"/>
      <c r="H41" s="12"/>
      <c r="K41" s="12"/>
      <c r="L41" s="13"/>
      <c r="M41" s="13"/>
    </row>
    <row r="42" customFormat="false" ht="15" hidden="false" customHeight="false" outlineLevel="0" collapsed="false">
      <c r="D42" s="12"/>
      <c r="G42" s="12"/>
      <c r="H42" s="12"/>
    </row>
    <row r="43" customFormat="false" ht="15" hidden="false" customHeight="false" outlineLevel="0" collapsed="false">
      <c r="D43" s="12"/>
      <c r="G43" s="12"/>
      <c r="H43" s="12"/>
    </row>
    <row r="44" customFormat="false" ht="15" hidden="false" customHeight="false" outlineLevel="0" collapsed="false">
      <c r="G44" s="12"/>
      <c r="H44" s="12"/>
    </row>
    <row r="45" customFormat="false" ht="15" hidden="false" customHeight="false" outlineLevel="0" collapsed="false">
      <c r="G45" s="12"/>
      <c r="H45" s="12"/>
    </row>
    <row r="46" customFormat="false" ht="15" hidden="false" customHeight="false" outlineLevel="0" collapsed="false">
      <c r="G46" s="12"/>
      <c r="H46" s="12"/>
    </row>
    <row r="47" customFormat="false" ht="15" hidden="false" customHeight="false" outlineLevel="0" collapsed="false">
      <c r="G47" s="12"/>
      <c r="H47" s="12"/>
    </row>
    <row r="48" customFormat="false" ht="15" hidden="false" customHeight="false" outlineLevel="0" collapsed="false">
      <c r="G48" s="12"/>
      <c r="H48" s="12"/>
    </row>
    <row r="49" customFormat="false" ht="15" hidden="false" customHeight="false" outlineLevel="0" collapsed="false">
      <c r="G49" s="12"/>
      <c r="H49" s="12"/>
    </row>
    <row r="50" customFormat="false" ht="15" hidden="false" customHeight="false" outlineLevel="0" collapsed="false">
      <c r="G50" s="12"/>
      <c r="H50" s="12"/>
    </row>
    <row r="51" customFormat="false" ht="15" hidden="false" customHeight="false" outlineLevel="0" collapsed="false">
      <c r="G51" s="12"/>
      <c r="H51" s="12"/>
    </row>
    <row r="52" customFormat="false" ht="15" hidden="false" customHeight="false" outlineLevel="0" collapsed="false">
      <c r="G52" s="12"/>
      <c r="H52" s="12"/>
    </row>
    <row r="53" customFormat="false" ht="15" hidden="false" customHeight="false" outlineLevel="0" collapsed="false">
      <c r="G53" s="12"/>
      <c r="H53" s="12"/>
    </row>
    <row r="54" customFormat="false" ht="15" hidden="false" customHeight="false" outlineLevel="0" collapsed="false">
      <c r="G54" s="12"/>
      <c r="H54" s="12"/>
    </row>
    <row r="55" customFormat="false" ht="15" hidden="false" customHeight="false" outlineLevel="0" collapsed="false">
      <c r="G55" s="12"/>
      <c r="H55" s="12"/>
    </row>
    <row r="56" customFormat="false" ht="15" hidden="false" customHeight="false" outlineLevel="0" collapsed="false">
      <c r="G56" s="12"/>
      <c r="H56" s="12"/>
    </row>
    <row r="57" customFormat="false" ht="15" hidden="false" customHeight="false" outlineLevel="0" collapsed="false">
      <c r="G57" s="12"/>
      <c r="H57" s="12"/>
    </row>
    <row r="58" customFormat="false" ht="15" hidden="false" customHeight="false" outlineLevel="0" collapsed="false">
      <c r="G58" s="12"/>
      <c r="H58" s="12"/>
    </row>
    <row r="59" customFormat="false" ht="15" hidden="false" customHeight="false" outlineLevel="0" collapsed="false">
      <c r="G59" s="12"/>
      <c r="H59" s="12"/>
    </row>
    <row r="60" customFormat="false" ht="15" hidden="false" customHeight="false" outlineLevel="0" collapsed="false">
      <c r="G60" s="12"/>
      <c r="H60" s="12"/>
    </row>
    <row r="61" customFormat="false" ht="15" hidden="false" customHeight="false" outlineLevel="0" collapsed="false">
      <c r="G61" s="12"/>
      <c r="H61" s="12"/>
    </row>
    <row r="62" customFormat="false" ht="15" hidden="false" customHeight="false" outlineLevel="0" collapsed="false">
      <c r="G62" s="12"/>
      <c r="H62" s="12"/>
    </row>
    <row r="63" customFormat="false" ht="15" hidden="false" customHeight="false" outlineLevel="0" collapsed="false">
      <c r="G63" s="12"/>
      <c r="H63" s="12"/>
    </row>
    <row r="64" customFormat="false" ht="15" hidden="false" customHeight="false" outlineLevel="0" collapsed="false">
      <c r="G64" s="12"/>
      <c r="H64" s="12"/>
    </row>
    <row r="65" customFormat="false" ht="15" hidden="false" customHeight="false" outlineLevel="0" collapsed="false">
      <c r="G65" s="12"/>
      <c r="H65" s="12"/>
    </row>
    <row r="66" customFormat="false" ht="15" hidden="false" customHeight="false" outlineLevel="0" collapsed="false">
      <c r="G66" s="12"/>
      <c r="H66" s="12"/>
    </row>
    <row r="67" customFormat="false" ht="15" hidden="false" customHeight="false" outlineLevel="0" collapsed="false">
      <c r="G67" s="12"/>
      <c r="H67" s="12"/>
    </row>
    <row r="68" customFormat="false" ht="15" hidden="false" customHeight="false" outlineLevel="0" collapsed="false">
      <c r="G68" s="12"/>
      <c r="H68" s="12"/>
    </row>
    <row r="69" customFormat="false" ht="15" hidden="false" customHeight="false" outlineLevel="0" collapsed="false">
      <c r="G69" s="12"/>
      <c r="H69" s="12"/>
    </row>
    <row r="70" customFormat="false" ht="15" hidden="false" customHeight="false" outlineLevel="0" collapsed="false">
      <c r="G70" s="12"/>
      <c r="H70" s="12"/>
    </row>
    <row r="71" customFormat="false" ht="15" hidden="false" customHeight="false" outlineLevel="0" collapsed="false">
      <c r="G71" s="12"/>
      <c r="H71" s="12"/>
    </row>
    <row r="72" customFormat="false" ht="15" hidden="false" customHeight="false" outlineLevel="0" collapsed="false">
      <c r="G72" s="12"/>
      <c r="H72" s="12"/>
    </row>
    <row r="73" customFormat="false" ht="15" hidden="false" customHeight="false" outlineLevel="0" collapsed="false">
      <c r="G73" s="12"/>
      <c r="H73" s="12"/>
    </row>
    <row r="74" customFormat="false" ht="15" hidden="false" customHeight="false" outlineLevel="0" collapsed="false">
      <c r="G74" s="12"/>
      <c r="H74" s="12"/>
    </row>
    <row r="75" customFormat="false" ht="15" hidden="false" customHeight="false" outlineLevel="0" collapsed="false">
      <c r="G75" s="12"/>
      <c r="H75" s="12"/>
    </row>
    <row r="76" customFormat="false" ht="15" hidden="false" customHeight="false" outlineLevel="0" collapsed="false">
      <c r="G76" s="12"/>
      <c r="H76" s="12"/>
    </row>
    <row r="77" customFormat="false" ht="15" hidden="false" customHeight="false" outlineLevel="0" collapsed="false">
      <c r="G77" s="12"/>
      <c r="H77" s="12"/>
    </row>
    <row r="78" customFormat="false" ht="15" hidden="false" customHeight="false" outlineLevel="0" collapsed="false">
      <c r="G78" s="12"/>
      <c r="H78" s="12"/>
    </row>
    <row r="79" customFormat="false" ht="15" hidden="false" customHeight="false" outlineLevel="0" collapsed="false">
      <c r="G79" s="12"/>
      <c r="H79" s="12"/>
    </row>
    <row r="80" customFormat="false" ht="15" hidden="false" customHeight="false" outlineLevel="0" collapsed="false">
      <c r="G80" s="12"/>
      <c r="H80" s="12"/>
    </row>
    <row r="81" customFormat="false" ht="15" hidden="false" customHeight="false" outlineLevel="0" collapsed="false">
      <c r="G81" s="12"/>
      <c r="H81" s="12"/>
    </row>
  </sheetData>
  <sheetProtection sheet="true" formatCells="false" formatColumns="false" formatRows="false"/>
  <mergeCells count="22">
    <mergeCell ref="A1:F1"/>
    <mergeCell ref="A2:F2"/>
    <mergeCell ref="A4:F4"/>
    <mergeCell ref="B5:F5"/>
    <mergeCell ref="B6:F6"/>
    <mergeCell ref="B7:F7"/>
    <mergeCell ref="A9:F9"/>
    <mergeCell ref="A10:F10"/>
    <mergeCell ref="A11:F11"/>
    <mergeCell ref="A12:F12"/>
    <mergeCell ref="A14:F14"/>
    <mergeCell ref="B15:D15"/>
    <mergeCell ref="B16:D16"/>
    <mergeCell ref="B17:D17"/>
    <mergeCell ref="A19:F19"/>
    <mergeCell ref="A26:F26"/>
    <mergeCell ref="A28:F28"/>
    <mergeCell ref="A30:B30"/>
    <mergeCell ref="D30:E30"/>
    <mergeCell ref="G30:I30"/>
    <mergeCell ref="K30:M30"/>
    <mergeCell ref="D32:E32"/>
  </mergeCells>
  <dataValidations count="2">
    <dataValidation allowBlank="true" errorStyle="stop" operator="between" showDropDown="false" showErrorMessage="false" showInputMessage="false" sqref="B17" type="list">
      <formula1>"baseline,half-yearly,quarterly"</formula1>
      <formula2>0</formula2>
    </dataValidation>
    <dataValidation allowBlank="true" errorStyle="stop" operator="between" showDropDown="false" showErrorMessage="false" showInputMessage="false" sqref="H32:H81" type="list">
      <formula1>"operational,tactical,strategic"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B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106" min="3" style="0" width="9"/>
  </cols>
  <sheetData>
    <row r="1" customFormat="false" ht="25.5" hidden="false" customHeight="true" outlineLevel="0" collapsed="false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customFormat="false" ht="13.5" hidden="false" customHeight="true" outlineLevel="0" collapsed="false">
      <c r="A2" s="2" t="s">
        <v>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</row>
    <row r="3" customFormat="false" ht="15" hidden="false" customHeight="false" outlineLevel="0" collapsed="false">
      <c r="A3" s="16"/>
      <c r="B3" s="16"/>
      <c r="C3" s="17" t="s">
        <v>41</v>
      </c>
      <c r="D3" s="17" t="s">
        <v>41</v>
      </c>
      <c r="E3" s="17" t="s">
        <v>41</v>
      </c>
      <c r="F3" s="17" t="s">
        <v>41</v>
      </c>
      <c r="G3" s="17" t="s">
        <v>42</v>
      </c>
      <c r="H3" s="17" t="s">
        <v>41</v>
      </c>
      <c r="I3" s="17" t="s">
        <v>41</v>
      </c>
      <c r="J3" s="17" t="s">
        <v>41</v>
      </c>
      <c r="K3" s="17" t="s">
        <v>41</v>
      </c>
      <c r="L3" s="17" t="s">
        <v>42</v>
      </c>
      <c r="M3" s="17" t="s">
        <v>41</v>
      </c>
      <c r="N3" s="17" t="s">
        <v>41</v>
      </c>
      <c r="O3" s="17" t="s">
        <v>41</v>
      </c>
      <c r="P3" s="17" t="s">
        <v>41</v>
      </c>
      <c r="Q3" s="17" t="s">
        <v>42</v>
      </c>
      <c r="R3" s="17" t="s">
        <v>41</v>
      </c>
      <c r="S3" s="17" t="s">
        <v>41</v>
      </c>
      <c r="T3" s="17" t="s">
        <v>41</v>
      </c>
      <c r="U3" s="17" t="s">
        <v>42</v>
      </c>
      <c r="V3" s="17" t="s">
        <v>41</v>
      </c>
      <c r="W3" s="17" t="s">
        <v>41</v>
      </c>
      <c r="X3" s="17" t="s">
        <v>41</v>
      </c>
      <c r="Y3" s="17" t="s">
        <v>41</v>
      </c>
      <c r="Z3" s="17" t="s">
        <v>41</v>
      </c>
      <c r="AA3" s="17" t="s">
        <v>41</v>
      </c>
      <c r="AB3" s="17" t="s">
        <v>41</v>
      </c>
      <c r="AC3" s="17" t="s">
        <v>41</v>
      </c>
      <c r="AD3" s="17" t="s">
        <v>42</v>
      </c>
      <c r="AE3" s="17" t="s">
        <v>41</v>
      </c>
      <c r="AF3" s="17" t="s">
        <v>41</v>
      </c>
      <c r="AG3" s="17" t="s">
        <v>41</v>
      </c>
      <c r="AH3" s="17" t="s">
        <v>42</v>
      </c>
      <c r="AI3" s="17" t="s">
        <v>41</v>
      </c>
      <c r="AJ3" s="17" t="s">
        <v>41</v>
      </c>
      <c r="AK3" s="17" t="s">
        <v>41</v>
      </c>
      <c r="AL3" s="17" t="s">
        <v>41</v>
      </c>
      <c r="AM3" s="17" t="s">
        <v>42</v>
      </c>
      <c r="AN3" s="17" t="s">
        <v>41</v>
      </c>
      <c r="AO3" s="17" t="s">
        <v>41</v>
      </c>
      <c r="AP3" s="17" t="s">
        <v>41</v>
      </c>
      <c r="AQ3" s="17" t="s">
        <v>41</v>
      </c>
      <c r="AR3" s="17" t="s">
        <v>41</v>
      </c>
      <c r="AS3" s="17" t="s">
        <v>42</v>
      </c>
      <c r="AT3" s="17" t="s">
        <v>41</v>
      </c>
      <c r="AU3" s="17" t="s">
        <v>41</v>
      </c>
      <c r="AV3" s="17" t="s">
        <v>42</v>
      </c>
      <c r="AW3" s="17" t="s">
        <v>41</v>
      </c>
      <c r="AX3" s="17" t="s">
        <v>41</v>
      </c>
      <c r="AY3" s="17" t="s">
        <v>41</v>
      </c>
      <c r="AZ3" s="17" t="s">
        <v>41</v>
      </c>
      <c r="BA3" s="17" t="s">
        <v>41</v>
      </c>
      <c r="BB3" s="17" t="s">
        <v>42</v>
      </c>
      <c r="BC3" s="17" t="s">
        <v>41</v>
      </c>
      <c r="BD3" s="17" t="s">
        <v>41</v>
      </c>
      <c r="BE3" s="17" t="s">
        <v>41</v>
      </c>
      <c r="BF3" s="17" t="s">
        <v>41</v>
      </c>
      <c r="BG3" s="17" t="s">
        <v>42</v>
      </c>
      <c r="BH3" s="17" t="s">
        <v>41</v>
      </c>
      <c r="BI3" s="17" t="s">
        <v>41</v>
      </c>
      <c r="BJ3" s="17" t="s">
        <v>42</v>
      </c>
      <c r="BK3" s="17" t="s">
        <v>41</v>
      </c>
      <c r="BL3" s="17" t="s">
        <v>41</v>
      </c>
      <c r="BM3" s="17" t="s">
        <v>41</v>
      </c>
      <c r="BN3" s="17" t="s">
        <v>41</v>
      </c>
      <c r="BO3" s="17" t="s">
        <v>41</v>
      </c>
      <c r="BP3" s="17" t="s">
        <v>42</v>
      </c>
      <c r="BQ3" s="17" t="s">
        <v>41</v>
      </c>
      <c r="BR3" s="17" t="s">
        <v>41</v>
      </c>
      <c r="BS3" s="17" t="s">
        <v>41</v>
      </c>
      <c r="BT3" s="17" t="s">
        <v>42</v>
      </c>
      <c r="BU3" s="17" t="s">
        <v>42</v>
      </c>
      <c r="BV3" s="17" t="s">
        <v>41</v>
      </c>
      <c r="BW3" s="17" t="s">
        <v>41</v>
      </c>
      <c r="BX3" s="17" t="s">
        <v>41</v>
      </c>
      <c r="BY3" s="17" t="s">
        <v>41</v>
      </c>
      <c r="BZ3" s="17" t="s">
        <v>42</v>
      </c>
      <c r="CA3" s="17" t="s">
        <v>41</v>
      </c>
      <c r="CB3" s="17" t="s">
        <v>41</v>
      </c>
      <c r="CC3" s="17" t="s">
        <v>42</v>
      </c>
      <c r="CD3" s="17" t="s">
        <v>42</v>
      </c>
      <c r="CE3" s="17" t="s">
        <v>41</v>
      </c>
      <c r="CF3" s="17" t="s">
        <v>42</v>
      </c>
      <c r="CG3" s="17"/>
      <c r="CH3" s="17" t="s">
        <v>41</v>
      </c>
      <c r="CI3" s="17" t="s">
        <v>41</v>
      </c>
      <c r="CJ3" s="17" t="s">
        <v>41</v>
      </c>
      <c r="CK3" s="17" t="s">
        <v>42</v>
      </c>
      <c r="CL3" s="17" t="s">
        <v>41</v>
      </c>
      <c r="CM3" s="17" t="s">
        <v>41</v>
      </c>
      <c r="CN3" s="17"/>
      <c r="CO3" s="17" t="s">
        <v>41</v>
      </c>
      <c r="CP3" s="17" t="s">
        <v>41</v>
      </c>
      <c r="CQ3" s="17" t="s">
        <v>41</v>
      </c>
      <c r="CR3" s="17" t="s">
        <v>42</v>
      </c>
      <c r="CS3" s="17" t="s">
        <v>41</v>
      </c>
      <c r="CT3" s="17" t="s">
        <v>41</v>
      </c>
      <c r="CU3" s="17"/>
      <c r="CV3" s="17" t="s">
        <v>41</v>
      </c>
      <c r="CW3" s="17" t="s">
        <v>41</v>
      </c>
      <c r="CX3" s="17" t="s">
        <v>41</v>
      </c>
      <c r="CY3" s="17" t="s">
        <v>42</v>
      </c>
      <c r="CZ3" s="17" t="s">
        <v>41</v>
      </c>
      <c r="DA3" s="17" t="s">
        <v>41</v>
      </c>
      <c r="DB3" s="17"/>
    </row>
    <row r="4" customFormat="false" ht="15" hidden="false" customHeight="false" outlineLevel="0" collapsed="false">
      <c r="A4" s="15" t="s">
        <v>43</v>
      </c>
      <c r="B4" s="15" t="s">
        <v>32</v>
      </c>
      <c r="C4" s="15" t="s">
        <v>44</v>
      </c>
      <c r="D4" s="15" t="s">
        <v>45</v>
      </c>
      <c r="E4" s="15" t="s">
        <v>46</v>
      </c>
      <c r="F4" s="15" t="s">
        <v>47</v>
      </c>
      <c r="G4" s="15" t="s">
        <v>48</v>
      </c>
      <c r="H4" s="15" t="s">
        <v>49</v>
      </c>
      <c r="I4" s="15" t="s">
        <v>50</v>
      </c>
      <c r="J4" s="15" t="s">
        <v>51</v>
      </c>
      <c r="K4" s="15" t="s">
        <v>52</v>
      </c>
      <c r="L4" s="15" t="s">
        <v>53</v>
      </c>
      <c r="M4" s="15" t="s">
        <v>54</v>
      </c>
      <c r="N4" s="15" t="s">
        <v>55</v>
      </c>
      <c r="O4" s="15" t="s">
        <v>56</v>
      </c>
      <c r="P4" s="15" t="s">
        <v>57</v>
      </c>
      <c r="Q4" s="15" t="s">
        <v>58</v>
      </c>
      <c r="R4" s="15" t="s">
        <v>59</v>
      </c>
      <c r="S4" s="15" t="s">
        <v>60</v>
      </c>
      <c r="T4" s="15" t="s">
        <v>61</v>
      </c>
      <c r="U4" s="15" t="s">
        <v>62</v>
      </c>
      <c r="V4" s="15" t="s">
        <v>63</v>
      </c>
      <c r="W4" s="15" t="s">
        <v>64</v>
      </c>
      <c r="X4" s="15" t="s">
        <v>65</v>
      </c>
      <c r="Y4" s="15" t="s">
        <v>66</v>
      </c>
      <c r="Z4" s="15" t="s">
        <v>67</v>
      </c>
      <c r="AA4" s="15" t="s">
        <v>68</v>
      </c>
      <c r="AB4" s="15" t="s">
        <v>69</v>
      </c>
      <c r="AC4" s="15" t="s">
        <v>70</v>
      </c>
      <c r="AD4" s="15" t="s">
        <v>71</v>
      </c>
      <c r="AE4" s="15" t="s">
        <v>72</v>
      </c>
      <c r="AF4" s="15" t="s">
        <v>73</v>
      </c>
      <c r="AG4" s="15" t="s">
        <v>74</v>
      </c>
      <c r="AH4" s="15" t="s">
        <v>75</v>
      </c>
      <c r="AI4" s="15" t="s">
        <v>76</v>
      </c>
      <c r="AJ4" s="15" t="s">
        <v>77</v>
      </c>
      <c r="AK4" s="15" t="s">
        <v>78</v>
      </c>
      <c r="AL4" s="15" t="s">
        <v>79</v>
      </c>
      <c r="AM4" s="15" t="s">
        <v>80</v>
      </c>
      <c r="AN4" s="15" t="s">
        <v>81</v>
      </c>
      <c r="AO4" s="15" t="s">
        <v>82</v>
      </c>
      <c r="AP4" s="15" t="s">
        <v>83</v>
      </c>
      <c r="AQ4" s="15" t="s">
        <v>84</v>
      </c>
      <c r="AR4" s="15" t="s">
        <v>85</v>
      </c>
      <c r="AS4" s="15" t="s">
        <v>86</v>
      </c>
      <c r="AT4" s="15" t="s">
        <v>87</v>
      </c>
      <c r="AU4" s="15" t="s">
        <v>88</v>
      </c>
      <c r="AV4" s="15" t="s">
        <v>89</v>
      </c>
      <c r="AW4" s="15" t="s">
        <v>90</v>
      </c>
      <c r="AX4" s="15" t="s">
        <v>91</v>
      </c>
      <c r="AY4" s="15" t="s">
        <v>92</v>
      </c>
      <c r="AZ4" s="15" t="s">
        <v>93</v>
      </c>
      <c r="BA4" s="15" t="s">
        <v>94</v>
      </c>
      <c r="BB4" s="15" t="s">
        <v>95</v>
      </c>
      <c r="BC4" s="15" t="s">
        <v>96</v>
      </c>
      <c r="BD4" s="15" t="s">
        <v>97</v>
      </c>
      <c r="BE4" s="15" t="s">
        <v>98</v>
      </c>
      <c r="BF4" s="15" t="s">
        <v>99</v>
      </c>
      <c r="BG4" s="15" t="s">
        <v>100</v>
      </c>
      <c r="BH4" s="15" t="s">
        <v>101</v>
      </c>
      <c r="BI4" s="15" t="s">
        <v>102</v>
      </c>
      <c r="BJ4" s="15" t="s">
        <v>103</v>
      </c>
      <c r="BK4" s="15" t="s">
        <v>104</v>
      </c>
      <c r="BL4" s="15" t="s">
        <v>105</v>
      </c>
      <c r="BM4" s="15" t="s">
        <v>106</v>
      </c>
      <c r="BN4" s="15" t="s">
        <v>107</v>
      </c>
      <c r="BO4" s="15" t="s">
        <v>108</v>
      </c>
      <c r="BP4" s="15" t="s">
        <v>109</v>
      </c>
      <c r="BQ4" s="15" t="s">
        <v>110</v>
      </c>
      <c r="BR4" s="15" t="s">
        <v>111</v>
      </c>
      <c r="BS4" s="15" t="s">
        <v>112</v>
      </c>
      <c r="BT4" s="15" t="s">
        <v>113</v>
      </c>
      <c r="BU4" s="15" t="s">
        <v>114</v>
      </c>
      <c r="BV4" s="15" t="s">
        <v>115</v>
      </c>
      <c r="BW4" s="15" t="s">
        <v>116</v>
      </c>
      <c r="BX4" s="15" t="s">
        <v>117</v>
      </c>
      <c r="BY4" s="15" t="s">
        <v>118</v>
      </c>
      <c r="BZ4" s="15" t="s">
        <v>119</v>
      </c>
      <c r="CA4" s="15" t="s">
        <v>120</v>
      </c>
      <c r="CB4" s="15" t="s">
        <v>121</v>
      </c>
      <c r="CC4" s="15" t="s">
        <v>122</v>
      </c>
      <c r="CD4" s="15" t="s">
        <v>123</v>
      </c>
      <c r="CE4" s="15" t="s">
        <v>124</v>
      </c>
      <c r="CF4" s="15" t="s">
        <v>125</v>
      </c>
      <c r="CG4" s="15" t="s">
        <v>126</v>
      </c>
      <c r="CH4" s="15" t="s">
        <v>127</v>
      </c>
      <c r="CI4" s="15" t="s">
        <v>128</v>
      </c>
      <c r="CJ4" s="15" t="s">
        <v>129</v>
      </c>
      <c r="CK4" s="15" t="s">
        <v>130</v>
      </c>
      <c r="CL4" s="15" t="s">
        <v>131</v>
      </c>
      <c r="CM4" s="15" t="s">
        <v>132</v>
      </c>
      <c r="CN4" s="15" t="s">
        <v>133</v>
      </c>
      <c r="CO4" s="15" t="s">
        <v>134</v>
      </c>
      <c r="CP4" s="15" t="s">
        <v>135</v>
      </c>
      <c r="CQ4" s="15" t="s">
        <v>136</v>
      </c>
      <c r="CR4" s="15" t="s">
        <v>137</v>
      </c>
      <c r="CS4" s="15" t="s">
        <v>138</v>
      </c>
      <c r="CT4" s="15" t="s">
        <v>139</v>
      </c>
      <c r="CU4" s="15" t="s">
        <v>140</v>
      </c>
      <c r="CV4" s="15" t="s">
        <v>141</v>
      </c>
      <c r="CW4" s="15" t="s">
        <v>142</v>
      </c>
      <c r="CX4" s="15" t="s">
        <v>143</v>
      </c>
      <c r="CY4" s="15" t="s">
        <v>144</v>
      </c>
      <c r="CZ4" s="15" t="s">
        <v>145</v>
      </c>
      <c r="DA4" s="15" t="s">
        <v>146</v>
      </c>
      <c r="DB4" s="15" t="s">
        <v>147</v>
      </c>
    </row>
    <row r="5" customFormat="false" ht="15" hidden="false" customHeight="false" outlineLevel="0" collapsed="false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</row>
    <row r="6" customFormat="false" ht="15" hidden="false" customHeight="false" outlineLevel="0" collapsed="false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</row>
    <row r="7" customFormat="false" ht="15" hidden="false" customHeight="false" outlineLevel="0" collapsed="false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</row>
    <row r="8" customFormat="false" ht="15" hidden="false" customHeight="false" outlineLevel="0" collapsed="false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</row>
    <row r="9" customFormat="false" ht="15" hidden="false" customHeight="false" outlineLevel="0" collapsed="false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</row>
    <row r="10" customFormat="false" ht="15" hidden="false" customHeight="false" outlineLevel="0" collapsed="false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</row>
    <row r="11" customFormat="false" ht="15" hidden="false" customHeight="false" outlineLevel="0" collapsed="false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</row>
    <row r="12" customFormat="false" ht="15" hidden="false" customHeight="false" outlineLevel="0" collapsed="false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</row>
    <row r="13" customFormat="false" ht="15" hidden="false" customHeight="false" outlineLevel="0" collapsed="false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</row>
    <row r="14" customFormat="false" ht="15" hidden="false" customHeight="false" outlineLevel="0" collapsed="false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</row>
    <row r="15" customFormat="false" ht="15" hidden="false" customHeight="false" outlineLevel="0" collapsed="false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</row>
    <row r="16" customFormat="false" ht="15" hidden="false" customHeight="false" outlineLevel="0" collapsed="false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</row>
    <row r="17" customFormat="false" ht="15" hidden="false" customHeight="false" outlineLevel="0" collapsed="false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</row>
    <row r="18" customFormat="false" ht="15" hidden="false" customHeight="false" outlineLevel="0" collapsed="false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</row>
    <row r="19" customFormat="false" ht="15" hidden="false" customHeight="false" outlineLevel="0" collapsed="false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</row>
    <row r="21" customFormat="false" ht="15" hidden="false" customHeight="false" outlineLevel="0" collapsed="false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</row>
    <row r="23" customFormat="false" ht="15" hidden="false" customHeight="false" outlineLevel="0" collapsed="false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</row>
    <row r="25" customFormat="false" ht="15" hidden="false" customHeight="false" outlineLevel="0" collapsed="false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</row>
    <row r="26" customFormat="false" ht="15" hidden="false" customHeight="false" outlineLevel="0" collapsed="false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</row>
    <row r="27" customFormat="false" ht="15" hidden="false" customHeight="false" outlineLevel="0" collapsed="false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</row>
    <row r="28" customFormat="false" ht="15" hidden="false" customHeight="false" outlineLevel="0" collapsed="false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</row>
    <row r="29" customFormat="false" ht="15" hidden="false" customHeight="false" outlineLevel="0" collapsed="false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</row>
    <row r="30" customFormat="false" ht="15" hidden="false" customHeight="false" outlineLevel="0" collapsed="false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</row>
    <row r="31" customFormat="false" ht="15" hidden="false" customHeight="false" outlineLevel="0" collapsed="false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</row>
    <row r="33" customFormat="false" ht="15" hidden="false" customHeight="false" outlineLevel="0" collapsed="false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</row>
    <row r="34" customFormat="false" ht="15" hidden="false" customHeight="false" outlineLevel="0" collapsed="false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</row>
    <row r="35" customFormat="false" ht="15" hidden="false" customHeight="false" outlineLevel="0" collapsed="false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</row>
    <row r="36" customFormat="false" ht="15" hidden="false" customHeight="false" outlineLevel="0" collapsed="false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</row>
    <row r="37" customFormat="false" ht="15" hidden="false" customHeight="false" outlineLevel="0" collapsed="false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</row>
    <row r="38" customFormat="false" ht="15" hidden="false" customHeight="false" outlineLevel="0" collapsed="false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</row>
    <row r="39" customFormat="false" ht="15" hidden="false" customHeight="false" outlineLevel="0" collapsed="false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</row>
    <row r="40" customFormat="false" ht="15" hidden="false" customHeight="false" outlineLevel="0" collapsed="false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</row>
    <row r="41" customFormat="false" ht="15" hidden="false" customHeight="false" outlineLevel="0" collapsed="false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</row>
    <row r="42" customFormat="false" ht="15" hidden="false" customHeight="false" outlineLevel="0" collapsed="false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</row>
    <row r="43" customFormat="false" ht="15" hidden="false" customHeight="false" outlineLevel="0" collapsed="false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</row>
    <row r="44" customFormat="false" ht="15" hidden="false" customHeight="false" outlineLevel="0" collapsed="false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</row>
    <row r="45" customFormat="false" ht="15" hidden="false" customHeight="false" outlineLevel="0" collapsed="false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</row>
    <row r="46" customFormat="false" ht="15" hidden="false" customHeight="false" outlineLevel="0" collapsed="false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</row>
    <row r="47" customFormat="false" ht="15" hidden="false" customHeight="false" outlineLevel="0" collapsed="false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</row>
    <row r="48" customFormat="false" ht="15" hidden="false" customHeight="false" outlineLevel="0" collapsed="false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</row>
    <row r="49" customFormat="false" ht="15" hidden="false" customHeight="false" outlineLevel="0" collapsed="false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</row>
    <row r="50" customFormat="false" ht="15" hidden="false" customHeight="false" outlineLevel="0" collapsed="false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</row>
    <row r="51" customFormat="false" ht="15" hidden="false" customHeight="false" outlineLevel="0" collapsed="false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</row>
    <row r="52" customFormat="false" ht="15" hidden="false" customHeight="false" outlineLevel="0" collapsed="false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</row>
    <row r="53" customFormat="false" ht="15" hidden="false" customHeight="false" outlineLevel="0" collapsed="false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</row>
    <row r="54" customFormat="false" ht="15" hidden="false" customHeight="false" outlineLevel="0" collapsed="false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</row>
    <row r="55" customFormat="false" ht="15" hidden="false" customHeight="false" outlineLevel="0" collapsed="false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</row>
    <row r="56" customFormat="false" ht="15" hidden="false" customHeight="false" outlineLevel="0" collapsed="false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</row>
    <row r="57" customFormat="false" ht="15" hidden="false" customHeight="false" outlineLevel="0" collapsed="false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</row>
    <row r="58" customFormat="false" ht="15" hidden="false" customHeight="false" outlineLevel="0" collapsed="false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</row>
    <row r="59" customFormat="false" ht="15" hidden="false" customHeight="false" outlineLevel="0" collapsed="false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</row>
    <row r="60" customFormat="false" ht="15" hidden="false" customHeight="false" outlineLevel="0" collapsed="false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</row>
    <row r="61" customFormat="false" ht="15" hidden="false" customHeight="false" outlineLevel="0" collapsed="false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</row>
    <row r="62" customFormat="false" ht="15" hidden="false" customHeight="false" outlineLevel="0" collapsed="false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</row>
    <row r="63" customFormat="false" ht="15" hidden="false" customHeight="false" outlineLevel="0" collapsed="false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</row>
    <row r="64" customFormat="false" ht="15" hidden="false" customHeight="false" outlineLevel="0" collapsed="false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</row>
    <row r="65" customFormat="false" ht="15" hidden="false" customHeight="false" outlineLevel="0" collapsed="false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</row>
    <row r="66" customFormat="false" ht="15" hidden="false" customHeight="false" outlineLevel="0" collapsed="false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</row>
    <row r="67" customFormat="false" ht="15" hidden="false" customHeight="false" outlineLevel="0" collapsed="false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</row>
    <row r="68" customFormat="false" ht="15" hidden="false" customHeight="false" outlineLevel="0" collapsed="false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</row>
    <row r="69" customFormat="false" ht="15" hidden="false" customHeight="false" outlineLevel="0" collapsed="false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</row>
    <row r="70" customFormat="false" ht="15" hidden="false" customHeight="false" outlineLevel="0" collapsed="false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</row>
    <row r="71" customFormat="false" ht="15" hidden="false" customHeight="false" outlineLevel="0" collapsed="false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</row>
    <row r="72" customFormat="false" ht="15" hidden="false" customHeight="false" outlineLevel="0" collapsed="false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</row>
    <row r="73" customFormat="false" ht="15" hidden="false" customHeight="false" outlineLevel="0" collapsed="false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</row>
    <row r="74" customFormat="false" ht="15" hidden="false" customHeight="false" outlineLevel="0" collapsed="false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</row>
    <row r="75" customFormat="false" ht="15" hidden="false" customHeight="false" outlineLevel="0" collapsed="false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</row>
    <row r="76" customFormat="false" ht="15" hidden="false" customHeight="false" outlineLevel="0" collapsed="false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</row>
    <row r="77" customFormat="false" ht="15" hidden="false" customHeight="false" outlineLevel="0" collapsed="false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</row>
    <row r="78" customFormat="false" ht="15" hidden="false" customHeight="false" outlineLevel="0" collapsed="false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</row>
    <row r="79" customFormat="false" ht="15" hidden="false" customHeight="false" outlineLevel="0" collapsed="false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</row>
    <row r="80" customFormat="false" ht="15" hidden="false" customHeight="false" outlineLevel="0" collapsed="false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</row>
    <row r="81" customFormat="false" ht="15" hidden="false" customHeight="false" outlineLevel="0" collapsed="false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</row>
    <row r="82" customFormat="false" ht="15" hidden="false" customHeight="false" outlineLevel="0" collapsed="false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</row>
    <row r="83" customFormat="false" ht="15" hidden="false" customHeight="false" outlineLevel="0" collapsed="false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</row>
    <row r="84" customFormat="false" ht="15" hidden="false" customHeight="false" outlineLevel="0" collapsed="false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</row>
    <row r="85" customFormat="false" ht="15" hidden="false" customHeight="false" outlineLevel="0" collapsed="false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</row>
    <row r="86" customFormat="false" ht="15" hidden="false" customHeight="false" outlineLevel="0" collapsed="false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</row>
    <row r="87" customFormat="false" ht="15" hidden="false" customHeight="false" outlineLevel="0" collapsed="false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</row>
    <row r="88" customFormat="false" ht="15" hidden="false" customHeight="false" outlineLevel="0" collapsed="false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</row>
    <row r="89" customFormat="false" ht="15" hidden="false" customHeight="false" outlineLevel="0" collapsed="false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</row>
    <row r="90" customFormat="false" ht="15" hidden="false" customHeight="false" outlineLevel="0" collapsed="false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</row>
    <row r="91" customFormat="false" ht="15" hidden="false" customHeight="false" outlineLevel="0" collapsed="false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</row>
    <row r="92" customFormat="false" ht="15" hidden="false" customHeight="false" outlineLevel="0" collapsed="false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</row>
    <row r="93" customFormat="false" ht="15" hidden="false" customHeight="false" outlineLevel="0" collapsed="false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</row>
    <row r="94" customFormat="false" ht="15" hidden="false" customHeight="false" outlineLevel="0" collapsed="false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</row>
    <row r="95" customFormat="false" ht="15" hidden="false" customHeight="false" outlineLevel="0" collapsed="false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</row>
    <row r="96" customFormat="false" ht="15" hidden="false" customHeight="false" outlineLevel="0" collapsed="false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</row>
    <row r="97" customFormat="false" ht="15" hidden="false" customHeight="false" outlineLevel="0" collapsed="false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</row>
    <row r="98" customFormat="false" ht="15" hidden="false" customHeight="false" outlineLevel="0" collapsed="false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</row>
    <row r="99" customFormat="false" ht="15" hidden="false" customHeight="false" outlineLevel="0" collapsed="false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</row>
    <row r="100" customFormat="false" ht="15" hidden="false" customHeight="false" outlineLevel="0" collapsed="false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</row>
    <row r="101" customFormat="false" ht="15" hidden="false" customHeight="false" outlineLevel="0" collapsed="false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</row>
    <row r="102" customFormat="false" ht="15" hidden="false" customHeight="false" outlineLevel="0" collapsed="false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</row>
    <row r="103" customFormat="false" ht="15" hidden="false" customHeight="false" outlineLevel="0" collapsed="false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</row>
    <row r="104" customFormat="false" ht="15" hidden="false" customHeight="false" outlineLevel="0" collapsed="false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</row>
    <row r="105" customFormat="false" ht="15" hidden="false" customHeight="false" outlineLevel="0" collapsed="false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</row>
    <row r="106" customFormat="false" ht="15" hidden="false" customHeight="false" outlineLevel="0" collapsed="false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</row>
    <row r="107" customFormat="false" ht="15" hidden="false" customHeight="false" outlineLevel="0" collapsed="false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</row>
    <row r="108" customFormat="false" ht="15" hidden="false" customHeight="false" outlineLevel="0" collapsed="false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</row>
    <row r="109" customFormat="false" ht="15" hidden="false" customHeight="false" outlineLevel="0" collapsed="false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</row>
    <row r="110" customFormat="false" ht="15" hidden="false" customHeight="false" outlineLevel="0" collapsed="false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</row>
    <row r="111" customFormat="false" ht="15" hidden="false" customHeight="false" outlineLevel="0" collapsed="false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</row>
    <row r="112" customFormat="false" ht="15" hidden="false" customHeight="false" outlineLevel="0" collapsed="false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</row>
    <row r="113" customFormat="false" ht="15" hidden="false" customHeight="false" outlineLevel="0" collapsed="false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</row>
    <row r="114" customFormat="false" ht="15" hidden="false" customHeight="false" outlineLevel="0" collapsed="false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</row>
    <row r="115" customFormat="false" ht="15" hidden="false" customHeight="false" outlineLevel="0" collapsed="false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</row>
    <row r="116" customFormat="false" ht="15" hidden="false" customHeight="false" outlineLevel="0" collapsed="false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</row>
    <row r="117" customFormat="false" ht="15" hidden="false" customHeight="false" outlineLevel="0" collapsed="false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</row>
    <row r="118" customFormat="false" ht="15" hidden="false" customHeight="false" outlineLevel="0" collapsed="false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</row>
    <row r="119" customFormat="false" ht="15" hidden="false" customHeight="false" outlineLevel="0" collapsed="false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</row>
    <row r="120" customFormat="false" ht="15" hidden="false" customHeight="false" outlineLevel="0" collapsed="false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</row>
    <row r="121" customFormat="false" ht="15" hidden="false" customHeight="false" outlineLevel="0" collapsed="false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</row>
    <row r="122" customFormat="false" ht="15" hidden="false" customHeight="false" outlineLevel="0" collapsed="false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</row>
    <row r="123" customFormat="false" ht="15" hidden="false" customHeight="false" outlineLevel="0" collapsed="false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</row>
    <row r="124" customFormat="false" ht="15" hidden="false" customHeight="false" outlineLevel="0" collapsed="false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</row>
    <row r="125" customFormat="false" ht="15" hidden="false" customHeight="false" outlineLevel="0" collapsed="false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</row>
    <row r="126" customFormat="false" ht="15" hidden="false" customHeight="false" outlineLevel="0" collapsed="false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</row>
    <row r="127" customFormat="false" ht="15" hidden="false" customHeight="false" outlineLevel="0" collapsed="false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</row>
    <row r="128" customFormat="false" ht="15" hidden="false" customHeight="false" outlineLevel="0" collapsed="false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</row>
    <row r="129" customFormat="false" ht="15" hidden="false" customHeight="false" outlineLevel="0" collapsed="false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</row>
    <row r="130" customFormat="false" ht="15" hidden="false" customHeight="false" outlineLevel="0" collapsed="false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</row>
    <row r="131" customFormat="false" ht="15" hidden="false" customHeight="false" outlineLevel="0" collapsed="false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</row>
    <row r="132" customFormat="false" ht="15" hidden="false" customHeight="false" outlineLevel="0" collapsed="false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18"/>
      <c r="DA132" s="18"/>
      <c r="DB132" s="18"/>
    </row>
    <row r="133" customFormat="false" ht="15" hidden="false" customHeight="false" outlineLevel="0" collapsed="false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18"/>
      <c r="DA133" s="18"/>
      <c r="DB133" s="18"/>
    </row>
    <row r="134" customFormat="false" ht="15" hidden="false" customHeight="false" outlineLevel="0" collapsed="false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  <c r="CZ134" s="18"/>
      <c r="DA134" s="18"/>
      <c r="DB134" s="18"/>
    </row>
    <row r="135" customFormat="false" ht="15" hidden="false" customHeight="false" outlineLevel="0" collapsed="false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</row>
    <row r="136" customFormat="false" ht="15" hidden="false" customHeight="false" outlineLevel="0" collapsed="false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  <c r="CZ136" s="18"/>
      <c r="DA136" s="18"/>
      <c r="DB136" s="18"/>
    </row>
    <row r="137" customFormat="false" ht="15" hidden="false" customHeight="false" outlineLevel="0" collapsed="false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  <c r="CZ137" s="18"/>
      <c r="DA137" s="18"/>
      <c r="DB137" s="18"/>
    </row>
    <row r="138" customFormat="false" ht="15" hidden="false" customHeight="false" outlineLevel="0" collapsed="false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  <c r="CZ138" s="18"/>
      <c r="DA138" s="18"/>
      <c r="DB138" s="18"/>
    </row>
    <row r="139" customFormat="false" ht="15" hidden="false" customHeight="false" outlineLevel="0" collapsed="false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  <c r="CZ139" s="18"/>
      <c r="DA139" s="18"/>
      <c r="DB139" s="18"/>
    </row>
    <row r="140" customFormat="false" ht="15" hidden="false" customHeight="false" outlineLevel="0" collapsed="false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  <c r="CZ140" s="18"/>
      <c r="DA140" s="18"/>
      <c r="DB140" s="18"/>
    </row>
    <row r="141" customFormat="false" ht="15" hidden="false" customHeight="false" outlineLevel="0" collapsed="false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  <c r="DA141" s="18"/>
      <c r="DB141" s="18"/>
    </row>
    <row r="142" customFormat="false" ht="15" hidden="false" customHeight="false" outlineLevel="0" collapsed="false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  <c r="CZ142" s="18"/>
      <c r="DA142" s="18"/>
      <c r="DB142" s="18"/>
    </row>
    <row r="143" customFormat="false" ht="15" hidden="false" customHeight="false" outlineLevel="0" collapsed="false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18"/>
      <c r="CX143" s="18"/>
      <c r="CY143" s="18"/>
      <c r="CZ143" s="18"/>
      <c r="DA143" s="18"/>
      <c r="DB143" s="18"/>
    </row>
    <row r="144" customFormat="false" ht="15" hidden="false" customHeight="false" outlineLevel="0" collapsed="false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8"/>
      <c r="CW144" s="18"/>
      <c r="CX144" s="18"/>
      <c r="CY144" s="18"/>
      <c r="CZ144" s="18"/>
      <c r="DA144" s="18"/>
      <c r="DB144" s="18"/>
    </row>
    <row r="145" customFormat="false" ht="15" hidden="false" customHeight="false" outlineLevel="0" collapsed="false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/>
      <c r="CW145" s="18"/>
      <c r="CX145" s="18"/>
      <c r="CY145" s="18"/>
      <c r="CZ145" s="18"/>
      <c r="DA145" s="18"/>
      <c r="DB145" s="18"/>
    </row>
    <row r="146" customFormat="false" ht="15" hidden="false" customHeight="false" outlineLevel="0" collapsed="false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18"/>
      <c r="CX146" s="18"/>
      <c r="CY146" s="18"/>
      <c r="CZ146" s="18"/>
      <c r="DA146" s="18"/>
      <c r="DB146" s="18"/>
    </row>
    <row r="147" customFormat="false" ht="15" hidden="false" customHeight="false" outlineLevel="0" collapsed="false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/>
      <c r="CW147" s="18"/>
      <c r="CX147" s="18"/>
      <c r="CY147" s="18"/>
      <c r="CZ147" s="18"/>
      <c r="DA147" s="18"/>
      <c r="DB147" s="18"/>
    </row>
    <row r="148" customFormat="false" ht="15" hidden="false" customHeight="false" outlineLevel="0" collapsed="false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8"/>
      <c r="CW148" s="18"/>
      <c r="CX148" s="18"/>
      <c r="CY148" s="18"/>
      <c r="CZ148" s="18"/>
      <c r="DA148" s="18"/>
      <c r="DB148" s="18"/>
    </row>
    <row r="149" customFormat="false" ht="15" hidden="false" customHeight="false" outlineLevel="0" collapsed="false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/>
      <c r="CW149" s="18"/>
      <c r="CX149" s="18"/>
      <c r="CY149" s="18"/>
      <c r="CZ149" s="18"/>
      <c r="DA149" s="18"/>
      <c r="DB149" s="18"/>
    </row>
    <row r="150" customFormat="false" ht="15" hidden="false" customHeight="false" outlineLevel="0" collapsed="false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8"/>
      <c r="CW150" s="18"/>
      <c r="CX150" s="18"/>
      <c r="CY150" s="18"/>
      <c r="CZ150" s="18"/>
      <c r="DA150" s="18"/>
      <c r="DB150" s="18"/>
    </row>
    <row r="151" customFormat="false" ht="15" hidden="false" customHeight="false" outlineLevel="0" collapsed="false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/>
      <c r="CW151" s="18"/>
      <c r="CX151" s="18"/>
      <c r="CY151" s="18"/>
      <c r="CZ151" s="18"/>
      <c r="DA151" s="18"/>
      <c r="DB151" s="18"/>
    </row>
    <row r="152" customFormat="false" ht="15" hidden="false" customHeight="false" outlineLevel="0" collapsed="false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8"/>
      <c r="CW152" s="18"/>
      <c r="CX152" s="18"/>
      <c r="CY152" s="18"/>
      <c r="CZ152" s="18"/>
      <c r="DA152" s="18"/>
      <c r="DB152" s="18"/>
    </row>
    <row r="153" customFormat="false" ht="15" hidden="false" customHeight="false" outlineLevel="0" collapsed="false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/>
      <c r="CW153" s="18"/>
      <c r="CX153" s="18"/>
      <c r="CY153" s="18"/>
      <c r="CZ153" s="18"/>
      <c r="DA153" s="18"/>
      <c r="DB153" s="18"/>
    </row>
    <row r="154" customFormat="false" ht="15" hidden="false" customHeight="false" outlineLevel="0" collapsed="false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/>
      <c r="CW154" s="18"/>
      <c r="CX154" s="18"/>
      <c r="CY154" s="18"/>
      <c r="CZ154" s="18"/>
      <c r="DA154" s="18"/>
      <c r="DB154" s="18"/>
    </row>
    <row r="155" customFormat="false" ht="15" hidden="false" customHeight="false" outlineLevel="0" collapsed="false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/>
      <c r="CW155" s="18"/>
      <c r="CX155" s="18"/>
      <c r="CY155" s="18"/>
      <c r="CZ155" s="18"/>
      <c r="DA155" s="18"/>
      <c r="DB155" s="18"/>
    </row>
    <row r="156" customFormat="false" ht="15" hidden="false" customHeight="false" outlineLevel="0" collapsed="false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/>
      <c r="CW156" s="18"/>
      <c r="CX156" s="18"/>
      <c r="CY156" s="18"/>
      <c r="CZ156" s="18"/>
      <c r="DA156" s="18"/>
      <c r="DB156" s="18"/>
    </row>
    <row r="157" customFormat="false" ht="15" hidden="false" customHeight="false" outlineLevel="0" collapsed="false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/>
      <c r="CW157" s="18"/>
      <c r="CX157" s="18"/>
      <c r="CY157" s="18"/>
      <c r="CZ157" s="18"/>
      <c r="DA157" s="18"/>
      <c r="DB157" s="18"/>
    </row>
    <row r="158" customFormat="false" ht="15" hidden="false" customHeight="false" outlineLevel="0" collapsed="false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  <c r="CZ158" s="18"/>
      <c r="DA158" s="18"/>
      <c r="DB158" s="18"/>
    </row>
    <row r="159" customFormat="false" ht="15" hidden="false" customHeight="false" outlineLevel="0" collapsed="false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18"/>
      <c r="CX159" s="18"/>
      <c r="CY159" s="18"/>
      <c r="CZ159" s="18"/>
      <c r="DA159" s="18"/>
      <c r="DB159" s="18"/>
    </row>
    <row r="160" customFormat="false" ht="15" hidden="false" customHeight="false" outlineLevel="0" collapsed="false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  <c r="CZ160" s="18"/>
      <c r="DA160" s="18"/>
      <c r="DB160" s="18"/>
    </row>
    <row r="161" customFormat="false" ht="15" hidden="false" customHeight="false" outlineLevel="0" collapsed="false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18"/>
      <c r="CX161" s="18"/>
      <c r="CY161" s="18"/>
      <c r="CZ161" s="18"/>
      <c r="DA161" s="18"/>
      <c r="DB161" s="18"/>
    </row>
    <row r="162" customFormat="false" ht="15" hidden="false" customHeight="false" outlineLevel="0" collapsed="false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18"/>
      <c r="CX162" s="18"/>
      <c r="CY162" s="18"/>
      <c r="CZ162" s="18"/>
      <c r="DA162" s="18"/>
      <c r="DB162" s="18"/>
    </row>
    <row r="163" customFormat="false" ht="15" hidden="false" customHeight="false" outlineLevel="0" collapsed="false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  <c r="CZ163" s="18"/>
      <c r="DA163" s="18"/>
      <c r="DB163" s="18"/>
    </row>
    <row r="164" customFormat="false" ht="15" hidden="false" customHeight="false" outlineLevel="0" collapsed="false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  <c r="CV164" s="18"/>
      <c r="CW164" s="18"/>
      <c r="CX164" s="18"/>
      <c r="CY164" s="18"/>
      <c r="CZ164" s="18"/>
      <c r="DA164" s="18"/>
      <c r="DB164" s="18"/>
    </row>
    <row r="165" customFormat="false" ht="15" hidden="false" customHeight="false" outlineLevel="0" collapsed="false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/>
      <c r="CW165" s="18"/>
      <c r="CX165" s="18"/>
      <c r="CY165" s="18"/>
      <c r="CZ165" s="18"/>
      <c r="DA165" s="18"/>
      <c r="DB165" s="18"/>
    </row>
    <row r="166" customFormat="false" ht="15" hidden="false" customHeight="false" outlineLevel="0" collapsed="false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/>
      <c r="CW166" s="18"/>
      <c r="CX166" s="18"/>
      <c r="CY166" s="18"/>
      <c r="CZ166" s="18"/>
      <c r="DA166" s="18"/>
      <c r="DB166" s="18"/>
    </row>
    <row r="167" customFormat="false" ht="15" hidden="false" customHeight="false" outlineLevel="0" collapsed="false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/>
      <c r="CW167" s="18"/>
      <c r="CX167" s="18"/>
      <c r="CY167" s="18"/>
      <c r="CZ167" s="18"/>
      <c r="DA167" s="18"/>
      <c r="DB167" s="18"/>
    </row>
    <row r="168" customFormat="false" ht="15" hidden="false" customHeight="false" outlineLevel="0" collapsed="false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8"/>
      <c r="CW168" s="18"/>
      <c r="CX168" s="18"/>
      <c r="CY168" s="18"/>
      <c r="CZ168" s="18"/>
      <c r="DA168" s="18"/>
      <c r="DB168" s="18"/>
    </row>
    <row r="169" customFormat="false" ht="15" hidden="false" customHeight="false" outlineLevel="0" collapsed="false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  <c r="CZ169" s="18"/>
      <c r="DA169" s="18"/>
      <c r="DB169" s="18"/>
    </row>
    <row r="170" customFormat="false" ht="15" hidden="false" customHeight="false" outlineLevel="0" collapsed="false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18"/>
      <c r="CX170" s="18"/>
      <c r="CY170" s="18"/>
      <c r="CZ170" s="18"/>
      <c r="DA170" s="18"/>
      <c r="DB170" s="18"/>
    </row>
    <row r="171" customFormat="false" ht="15" hidden="false" customHeight="false" outlineLevel="0" collapsed="false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  <c r="DA171" s="18"/>
      <c r="DB171" s="18"/>
    </row>
    <row r="172" customFormat="false" ht="15" hidden="false" customHeight="false" outlineLevel="0" collapsed="false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  <c r="CZ172" s="18"/>
      <c r="DA172" s="18"/>
      <c r="DB172" s="18"/>
    </row>
    <row r="173" customFormat="false" ht="15" hidden="false" customHeight="false" outlineLevel="0" collapsed="false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  <c r="CZ173" s="18"/>
      <c r="DA173" s="18"/>
      <c r="DB173" s="18"/>
    </row>
    <row r="174" customFormat="false" ht="15" hidden="false" customHeight="false" outlineLevel="0" collapsed="false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  <c r="CZ174" s="18"/>
      <c r="DA174" s="18"/>
      <c r="DB174" s="18"/>
    </row>
    <row r="175" customFormat="false" ht="15" hidden="false" customHeight="false" outlineLevel="0" collapsed="false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/>
      <c r="CW175" s="18"/>
      <c r="CX175" s="18"/>
      <c r="CY175" s="18"/>
      <c r="CZ175" s="18"/>
      <c r="DA175" s="18"/>
      <c r="DB175" s="18"/>
    </row>
    <row r="176" customFormat="false" ht="15" hidden="false" customHeight="false" outlineLevel="0" collapsed="false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18"/>
      <c r="CW176" s="18"/>
      <c r="CX176" s="18"/>
      <c r="CY176" s="18"/>
      <c r="CZ176" s="18"/>
      <c r="DA176" s="18"/>
      <c r="DB176" s="18"/>
    </row>
    <row r="177" customFormat="false" ht="15" hidden="false" customHeight="false" outlineLevel="0" collapsed="false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  <c r="CV177" s="18"/>
      <c r="CW177" s="18"/>
      <c r="CX177" s="18"/>
      <c r="CY177" s="18"/>
      <c r="CZ177" s="18"/>
      <c r="DA177" s="18"/>
      <c r="DB177" s="18"/>
    </row>
    <row r="178" customFormat="false" ht="15" hidden="false" customHeight="false" outlineLevel="0" collapsed="false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  <c r="CV178" s="18"/>
      <c r="CW178" s="18"/>
      <c r="CX178" s="18"/>
      <c r="CY178" s="18"/>
      <c r="CZ178" s="18"/>
      <c r="DA178" s="18"/>
      <c r="DB178" s="18"/>
    </row>
    <row r="179" customFormat="false" ht="15" hidden="false" customHeight="false" outlineLevel="0" collapsed="false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18"/>
      <c r="CW179" s="18"/>
      <c r="CX179" s="18"/>
      <c r="CY179" s="18"/>
      <c r="CZ179" s="18"/>
      <c r="DA179" s="18"/>
      <c r="DB179" s="18"/>
    </row>
    <row r="180" customFormat="false" ht="15" hidden="false" customHeight="false" outlineLevel="0" collapsed="false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/>
      <c r="CW180" s="18"/>
      <c r="CX180" s="18"/>
      <c r="CY180" s="18"/>
      <c r="CZ180" s="18"/>
      <c r="DA180" s="18"/>
      <c r="DB180" s="18"/>
    </row>
    <row r="181" customFormat="false" ht="15" hidden="false" customHeight="false" outlineLevel="0" collapsed="false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  <c r="DA181" s="18"/>
      <c r="DB181" s="18"/>
    </row>
    <row r="182" customFormat="false" ht="15" hidden="false" customHeight="false" outlineLevel="0" collapsed="false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  <c r="CV182" s="18"/>
      <c r="CW182" s="18"/>
      <c r="CX182" s="18"/>
      <c r="CY182" s="18"/>
      <c r="CZ182" s="18"/>
      <c r="DA182" s="18"/>
      <c r="DB182" s="18"/>
    </row>
    <row r="183" customFormat="false" ht="15" hidden="false" customHeight="false" outlineLevel="0" collapsed="false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18"/>
      <c r="CW183" s="18"/>
      <c r="CX183" s="18"/>
      <c r="CY183" s="18"/>
      <c r="CZ183" s="18"/>
      <c r="DA183" s="18"/>
      <c r="DB183" s="18"/>
    </row>
    <row r="184" customFormat="false" ht="15" hidden="false" customHeight="false" outlineLevel="0" collapsed="false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/>
      <c r="CW184" s="18"/>
      <c r="CX184" s="18"/>
      <c r="CY184" s="18"/>
      <c r="CZ184" s="18"/>
      <c r="DA184" s="18"/>
      <c r="DB184" s="18"/>
    </row>
    <row r="185" customFormat="false" ht="15" hidden="false" customHeight="false" outlineLevel="0" collapsed="false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  <c r="CV185" s="18"/>
      <c r="CW185" s="18"/>
      <c r="CX185" s="18"/>
      <c r="CY185" s="18"/>
      <c r="CZ185" s="18"/>
      <c r="DA185" s="18"/>
      <c r="DB185" s="18"/>
    </row>
    <row r="186" customFormat="false" ht="15" hidden="false" customHeight="false" outlineLevel="0" collapsed="false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  <c r="CZ186" s="18"/>
      <c r="DA186" s="18"/>
      <c r="DB186" s="18"/>
    </row>
    <row r="187" customFormat="false" ht="15" hidden="false" customHeight="false" outlineLevel="0" collapsed="false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/>
      <c r="CW187" s="18"/>
      <c r="CX187" s="18"/>
      <c r="CY187" s="18"/>
      <c r="CZ187" s="18"/>
      <c r="DA187" s="18"/>
      <c r="DB187" s="18"/>
    </row>
    <row r="188" customFormat="false" ht="15" hidden="false" customHeight="false" outlineLevel="0" collapsed="false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/>
      <c r="CW188" s="18"/>
      <c r="CX188" s="18"/>
      <c r="CY188" s="18"/>
      <c r="CZ188" s="18"/>
      <c r="DA188" s="18"/>
      <c r="DB188" s="18"/>
    </row>
    <row r="189" customFormat="false" ht="15" hidden="false" customHeight="false" outlineLevel="0" collapsed="false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  <c r="CV189" s="18"/>
      <c r="CW189" s="18"/>
      <c r="CX189" s="18"/>
      <c r="CY189" s="18"/>
      <c r="CZ189" s="18"/>
      <c r="DA189" s="18"/>
      <c r="DB189" s="18"/>
    </row>
    <row r="190" customFormat="false" ht="15" hidden="false" customHeight="false" outlineLevel="0" collapsed="false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  <c r="CV190" s="18"/>
      <c r="CW190" s="18"/>
      <c r="CX190" s="18"/>
      <c r="CY190" s="18"/>
      <c r="CZ190" s="18"/>
      <c r="DA190" s="18"/>
      <c r="DB190" s="18"/>
    </row>
    <row r="191" customFormat="false" ht="15" hidden="false" customHeight="false" outlineLevel="0" collapsed="false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18"/>
      <c r="CW191" s="18"/>
      <c r="CX191" s="18"/>
      <c r="CY191" s="18"/>
      <c r="CZ191" s="18"/>
      <c r="DA191" s="18"/>
      <c r="DB191" s="18"/>
    </row>
    <row r="192" customFormat="false" ht="15" hidden="false" customHeight="false" outlineLevel="0" collapsed="false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18"/>
    </row>
    <row r="193" customFormat="false" ht="15" hidden="false" customHeight="false" outlineLevel="0" collapsed="false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  <c r="CV193" s="18"/>
      <c r="CW193" s="18"/>
      <c r="CX193" s="18"/>
      <c r="CY193" s="18"/>
      <c r="CZ193" s="18"/>
      <c r="DA193" s="18"/>
      <c r="DB193" s="18"/>
    </row>
    <row r="194" customFormat="false" ht="15" hidden="false" customHeight="false" outlineLevel="0" collapsed="false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  <c r="CS194" s="18"/>
      <c r="CT194" s="18"/>
      <c r="CU194" s="18"/>
      <c r="CV194" s="18"/>
      <c r="CW194" s="18"/>
      <c r="CX194" s="18"/>
      <c r="CY194" s="18"/>
      <c r="CZ194" s="18"/>
      <c r="DA194" s="18"/>
      <c r="DB194" s="18"/>
    </row>
    <row r="195" customFormat="false" ht="15" hidden="false" customHeight="false" outlineLevel="0" collapsed="false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  <c r="CV195" s="18"/>
      <c r="CW195" s="18"/>
      <c r="CX195" s="18"/>
      <c r="CY195" s="18"/>
      <c r="CZ195" s="18"/>
      <c r="DA195" s="18"/>
      <c r="DB195" s="18"/>
    </row>
    <row r="196" customFormat="false" ht="15" hidden="false" customHeight="false" outlineLevel="0" collapsed="false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  <c r="CU196" s="18"/>
      <c r="CV196" s="18"/>
      <c r="CW196" s="18"/>
      <c r="CX196" s="18"/>
      <c r="CY196" s="18"/>
      <c r="CZ196" s="18"/>
      <c r="DA196" s="18"/>
      <c r="DB196" s="18"/>
    </row>
    <row r="197" customFormat="false" ht="15" hidden="false" customHeight="false" outlineLevel="0" collapsed="false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18"/>
      <c r="CW197" s="18"/>
      <c r="CX197" s="18"/>
      <c r="CY197" s="18"/>
      <c r="CZ197" s="18"/>
      <c r="DA197" s="18"/>
      <c r="DB197" s="18"/>
    </row>
    <row r="198" customFormat="false" ht="15" hidden="false" customHeight="false" outlineLevel="0" collapsed="false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  <c r="CV198" s="18"/>
      <c r="CW198" s="18"/>
      <c r="CX198" s="18"/>
      <c r="CY198" s="18"/>
      <c r="CZ198" s="18"/>
      <c r="DA198" s="18"/>
      <c r="DB198" s="18"/>
    </row>
    <row r="199" customFormat="false" ht="15" hidden="false" customHeight="false" outlineLevel="0" collapsed="false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  <c r="CS199" s="18"/>
      <c r="CT199" s="18"/>
      <c r="CU199" s="18"/>
      <c r="CV199" s="18"/>
      <c r="CW199" s="18"/>
      <c r="CX199" s="18"/>
      <c r="CY199" s="18"/>
      <c r="CZ199" s="18"/>
      <c r="DA199" s="18"/>
      <c r="DB199" s="18"/>
    </row>
    <row r="200" customFormat="false" ht="15" hidden="false" customHeight="false" outlineLevel="0" collapsed="false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  <c r="CR200" s="18"/>
      <c r="CS200" s="18"/>
      <c r="CT200" s="18"/>
      <c r="CU200" s="18"/>
      <c r="CV200" s="18"/>
      <c r="CW200" s="18"/>
      <c r="CX200" s="18"/>
      <c r="CY200" s="18"/>
      <c r="CZ200" s="18"/>
      <c r="DA200" s="18"/>
      <c r="DB200" s="18"/>
    </row>
    <row r="201" customFormat="false" ht="15" hidden="false" customHeight="false" outlineLevel="0" collapsed="false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  <c r="CS201" s="18"/>
      <c r="CT201" s="18"/>
      <c r="CU201" s="18"/>
      <c r="CV201" s="18"/>
      <c r="CW201" s="18"/>
      <c r="CX201" s="18"/>
      <c r="CY201" s="18"/>
      <c r="CZ201" s="18"/>
      <c r="DA201" s="18"/>
      <c r="DB201" s="18"/>
    </row>
    <row r="202" customFormat="false" ht="15" hidden="false" customHeight="false" outlineLevel="0" collapsed="false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18"/>
      <c r="CV202" s="18"/>
      <c r="CW202" s="18"/>
      <c r="CX202" s="18"/>
      <c r="CY202" s="18"/>
      <c r="CZ202" s="18"/>
      <c r="DA202" s="18"/>
      <c r="DB202" s="18"/>
    </row>
    <row r="203" customFormat="false" ht="15" hidden="false" customHeight="false" outlineLevel="0" collapsed="false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  <c r="CU203" s="18"/>
      <c r="CV203" s="18"/>
      <c r="CW203" s="18"/>
      <c r="CX203" s="18"/>
      <c r="CY203" s="18"/>
      <c r="CZ203" s="18"/>
      <c r="DA203" s="18"/>
      <c r="DB203" s="18"/>
    </row>
    <row r="204" customFormat="false" ht="15" hidden="false" customHeight="false" outlineLevel="0" collapsed="false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  <c r="CV204" s="18"/>
      <c r="CW204" s="18"/>
      <c r="CX204" s="18"/>
      <c r="CY204" s="18"/>
      <c r="CZ204" s="18"/>
      <c r="DA204" s="18"/>
      <c r="DB204" s="18"/>
    </row>
  </sheetData>
  <sheetProtection sheet="true" formatCells="false" formatColumns="false" formatRows="false"/>
  <mergeCells count="2">
    <mergeCell ref="A1:DB1"/>
    <mergeCell ref="A2:D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18" min="4" style="0" width="7"/>
    <col collapsed="false" customWidth="true" hidden="false" outlineLevel="0" max="20" min="19" style="0" width="11"/>
    <col collapsed="false" customWidth="true" hidden="false" outlineLevel="0" max="21" min="21" style="0" width="8"/>
  </cols>
  <sheetData>
    <row r="1" customFormat="false" ht="25.5" hidden="false" customHeight="true" outlineLevel="0" collapsed="false">
      <c r="A1" s="1" t="s">
        <v>148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3.5" hidden="false" customHeight="true" outlineLevel="0" collapsed="false">
      <c r="A2" s="2" t="s">
        <v>149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customFormat="false" ht="22.35" hidden="false" customHeight="false" outlineLevel="0" collapsed="false">
      <c r="A4" s="15" t="s">
        <v>150</v>
      </c>
      <c r="B4" s="15" t="s">
        <v>37</v>
      </c>
      <c r="C4" s="15" t="s">
        <v>151</v>
      </c>
      <c r="D4" s="15" t="s">
        <v>152</v>
      </c>
      <c r="E4" s="15" t="s">
        <v>153</v>
      </c>
      <c r="F4" s="15" t="s">
        <v>154</v>
      </c>
      <c r="G4" s="15" t="s">
        <v>155</v>
      </c>
      <c r="H4" s="15" t="s">
        <v>156</v>
      </c>
      <c r="I4" s="15" t="s">
        <v>157</v>
      </c>
      <c r="J4" s="15" t="s">
        <v>158</v>
      </c>
      <c r="K4" s="15" t="s">
        <v>159</v>
      </c>
      <c r="L4" s="15" t="s">
        <v>160</v>
      </c>
      <c r="M4" s="15" t="s">
        <v>161</v>
      </c>
      <c r="N4" s="15" t="s">
        <v>162</v>
      </c>
      <c r="O4" s="15" t="s">
        <v>163</v>
      </c>
      <c r="P4" s="15" t="s">
        <v>164</v>
      </c>
      <c r="Q4" s="15" t="s">
        <v>165</v>
      </c>
      <c r="R4" s="15" t="s">
        <v>166</v>
      </c>
      <c r="S4" s="15" t="s">
        <v>167</v>
      </c>
      <c r="T4" s="15" t="s">
        <v>168</v>
      </c>
      <c r="U4" s="15" t="s">
        <v>169</v>
      </c>
    </row>
    <row r="5" customFormat="false" ht="15" hidden="false" customHeight="false" outlineLevel="0" collapsed="false">
      <c r="A5" s="12"/>
      <c r="B5" s="12"/>
      <c r="C5" s="12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9" t="str">
        <f aca="false">IF(OR(C5="",IFERROR(VLOOKUP(B5,'1 Setup &amp; Keys'!$K$32:$M$41,3,FALSE()),"")=""),"",IFERROR(COUNTIF(D5:R5,"&gt;="&amp;'1 Setup &amp; Keys'!$B$27)/IFERROR(VLOOKUP(B5,'1 Setup &amp; Keys'!$K$32:$M$41,3,FALSE()),""),""))</f>
        <v/>
      </c>
      <c r="U5" s="20" t="n">
        <f aca="false">IF(A5="",0,IF(COUNTIF($A$5:A5,A5)=1,1,0))</f>
        <v>0</v>
      </c>
    </row>
    <row r="6" customFormat="false" ht="15" hidden="false" customHeight="false" outlineLevel="0" collapsed="false">
      <c r="A6" s="12"/>
      <c r="B6" s="12"/>
      <c r="C6" s="12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9" t="str">
        <f aca="false">IF(OR(C6="",IFERROR(VLOOKUP(B6,'1 Setup &amp; Keys'!$K$32:$M$41,3,FALSE()),"")=""),"",IFERROR(COUNTIF(D6:R6,"&gt;="&amp;'1 Setup &amp; Keys'!$B$27)/IFERROR(VLOOKUP(B6,'1 Setup &amp; Keys'!$K$32:$M$41,3,FALSE()),""),""))</f>
        <v/>
      </c>
      <c r="U6" s="20" t="n">
        <f aca="false">IF(A6="",0,IF(COUNTIF($A$5:A6,A6)=1,1,0))</f>
        <v>0</v>
      </c>
    </row>
    <row r="7" customFormat="false" ht="15" hidden="false" customHeight="false" outlineLevel="0" collapsed="false">
      <c r="A7" s="12"/>
      <c r="B7" s="12"/>
      <c r="C7" s="12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9" t="str">
        <f aca="false">IF(OR(C7="",IFERROR(VLOOKUP(B7,'1 Setup &amp; Keys'!$K$32:$M$41,3,FALSE()),"")=""),"",IFERROR(COUNTIF(D7:R7,"&gt;="&amp;'1 Setup &amp; Keys'!$B$27)/IFERROR(VLOOKUP(B7,'1 Setup &amp; Keys'!$K$32:$M$41,3,FALSE()),""),""))</f>
        <v/>
      </c>
      <c r="U7" s="20" t="n">
        <f aca="false">IF(A7="",0,IF(COUNTIF($A$5:A7,A7)=1,1,0))</f>
        <v>0</v>
      </c>
    </row>
    <row r="8" customFormat="false" ht="15" hidden="false" customHeight="false" outlineLevel="0" collapsed="false">
      <c r="A8" s="12"/>
      <c r="B8" s="12"/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9" t="str">
        <f aca="false">IF(OR(C8="",IFERROR(VLOOKUP(B8,'1 Setup &amp; Keys'!$K$32:$M$41,3,FALSE()),"")=""),"",IFERROR(COUNTIF(D8:R8,"&gt;="&amp;'1 Setup &amp; Keys'!$B$27)/IFERROR(VLOOKUP(B8,'1 Setup &amp; Keys'!$K$32:$M$41,3,FALSE()),""),""))</f>
        <v/>
      </c>
      <c r="U8" s="20" t="n">
        <f aca="false">IF(A8="",0,IF(COUNTIF($A$5:A8,A8)=1,1,0))</f>
        <v>0</v>
      </c>
    </row>
    <row r="9" customFormat="false" ht="15" hidden="false" customHeight="false" outlineLevel="0" collapsed="false">
      <c r="A9" s="12"/>
      <c r="B9" s="12"/>
      <c r="C9" s="12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9" t="str">
        <f aca="false">IF(OR(C9="",IFERROR(VLOOKUP(B9,'1 Setup &amp; Keys'!$K$32:$M$41,3,FALSE()),"")=""),"",IFERROR(COUNTIF(D9:R9,"&gt;="&amp;'1 Setup &amp; Keys'!$B$27)/IFERROR(VLOOKUP(B9,'1 Setup &amp; Keys'!$K$32:$M$41,3,FALSE()),""),""))</f>
        <v/>
      </c>
      <c r="U9" s="20" t="n">
        <f aca="false">IF(A9="",0,IF(COUNTIF($A$5:A9,A9)=1,1,0))</f>
        <v>0</v>
      </c>
    </row>
    <row r="10" customFormat="false" ht="15" hidden="false" customHeight="false" outlineLevel="0" collapsed="false">
      <c r="A10" s="12"/>
      <c r="B10" s="12"/>
      <c r="C10" s="12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9" t="str">
        <f aca="false">IF(OR(C10="",IFERROR(VLOOKUP(B10,'1 Setup &amp; Keys'!$K$32:$M$41,3,FALSE()),"")=""),"",IFERROR(COUNTIF(D10:R10,"&gt;="&amp;'1 Setup &amp; Keys'!$B$27)/IFERROR(VLOOKUP(B10,'1 Setup &amp; Keys'!$K$32:$M$41,3,FALSE()),""),""))</f>
        <v/>
      </c>
      <c r="U10" s="20" t="n">
        <f aca="false">IF(A10="",0,IF(COUNTIF($A$5:A10,A10)=1,1,0))</f>
        <v>0</v>
      </c>
    </row>
    <row r="11" customFormat="false" ht="15" hidden="false" customHeight="false" outlineLevel="0" collapsed="false">
      <c r="A11" s="12"/>
      <c r="B11" s="12"/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9" t="str">
        <f aca="false">IF(OR(C11="",IFERROR(VLOOKUP(B11,'1 Setup &amp; Keys'!$K$32:$M$41,3,FALSE()),"")=""),"",IFERROR(COUNTIF(D11:R11,"&gt;="&amp;'1 Setup &amp; Keys'!$B$27)/IFERROR(VLOOKUP(B11,'1 Setup &amp; Keys'!$K$32:$M$41,3,FALSE()),""),""))</f>
        <v/>
      </c>
      <c r="U11" s="20" t="n">
        <f aca="false">IF(A11="",0,IF(COUNTIF($A$5:A11,A11)=1,1,0))</f>
        <v>0</v>
      </c>
    </row>
    <row r="12" customFormat="false" ht="15" hidden="false" customHeight="false" outlineLevel="0" collapsed="false">
      <c r="A12" s="12"/>
      <c r="B12" s="12"/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9" t="str">
        <f aca="false">IF(OR(C12="",IFERROR(VLOOKUP(B12,'1 Setup &amp; Keys'!$K$32:$M$41,3,FALSE()),"")=""),"",IFERROR(COUNTIF(D12:R12,"&gt;="&amp;'1 Setup &amp; Keys'!$B$27)/IFERROR(VLOOKUP(B12,'1 Setup &amp; Keys'!$K$32:$M$41,3,FALSE()),""),""))</f>
        <v/>
      </c>
      <c r="U12" s="20" t="n">
        <f aca="false">IF(A12="",0,IF(COUNTIF($A$5:A12,A12)=1,1,0))</f>
        <v>0</v>
      </c>
    </row>
    <row r="13" customFormat="false" ht="15" hidden="false" customHeight="false" outlineLevel="0" collapsed="false">
      <c r="A13" s="12"/>
      <c r="B13" s="12"/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9" t="str">
        <f aca="false">IF(OR(C13="",IFERROR(VLOOKUP(B13,'1 Setup &amp; Keys'!$K$32:$M$41,3,FALSE()),"")=""),"",IFERROR(COUNTIF(D13:R13,"&gt;="&amp;'1 Setup &amp; Keys'!$B$27)/IFERROR(VLOOKUP(B13,'1 Setup &amp; Keys'!$K$32:$M$41,3,FALSE()),""),""))</f>
        <v/>
      </c>
      <c r="U13" s="20" t="n">
        <f aca="false">IF(A13="",0,IF(COUNTIF($A$5:A13,A13)=1,1,0))</f>
        <v>0</v>
      </c>
    </row>
    <row r="14" customFormat="false" ht="15" hidden="false" customHeight="false" outlineLevel="0" collapsed="false">
      <c r="A14" s="12"/>
      <c r="B14" s="12"/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9" t="str">
        <f aca="false">IF(OR(C14="",IFERROR(VLOOKUP(B14,'1 Setup &amp; Keys'!$K$32:$M$41,3,FALSE()),"")=""),"",IFERROR(COUNTIF(D14:R14,"&gt;="&amp;'1 Setup &amp; Keys'!$B$27)/IFERROR(VLOOKUP(B14,'1 Setup &amp; Keys'!$K$32:$M$41,3,FALSE()),""),""))</f>
        <v/>
      </c>
      <c r="U14" s="20" t="n">
        <f aca="false">IF(A14="",0,IF(COUNTIF($A$5:A14,A14)=1,1,0))</f>
        <v>0</v>
      </c>
    </row>
    <row r="15" customFormat="false" ht="15" hidden="false" customHeight="false" outlineLevel="0" collapsed="false">
      <c r="A15" s="12"/>
      <c r="B15" s="12"/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9" t="str">
        <f aca="false">IF(OR(C15="",IFERROR(VLOOKUP(B15,'1 Setup &amp; Keys'!$K$32:$M$41,3,FALSE()),"")=""),"",IFERROR(COUNTIF(D15:R15,"&gt;="&amp;'1 Setup &amp; Keys'!$B$27)/IFERROR(VLOOKUP(B15,'1 Setup &amp; Keys'!$K$32:$M$41,3,FALSE()),""),""))</f>
        <v/>
      </c>
      <c r="U15" s="20" t="n">
        <f aca="false">IF(A15="",0,IF(COUNTIF($A$5:A15,A15)=1,1,0))</f>
        <v>0</v>
      </c>
    </row>
    <row r="16" customFormat="false" ht="15" hidden="false" customHeight="false" outlineLevel="0" collapsed="false">
      <c r="A16" s="12"/>
      <c r="B16" s="12"/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9" t="str">
        <f aca="false">IF(OR(C16="",IFERROR(VLOOKUP(B16,'1 Setup &amp; Keys'!$K$32:$M$41,3,FALSE()),"")=""),"",IFERROR(COUNTIF(D16:R16,"&gt;="&amp;'1 Setup &amp; Keys'!$B$27)/IFERROR(VLOOKUP(B16,'1 Setup &amp; Keys'!$K$32:$M$41,3,FALSE()),""),""))</f>
        <v/>
      </c>
      <c r="U16" s="20" t="n">
        <f aca="false">IF(A16="",0,IF(COUNTIF($A$5:A16,A16)=1,1,0))</f>
        <v>0</v>
      </c>
    </row>
    <row r="17" customFormat="false" ht="15" hidden="false" customHeight="false" outlineLevel="0" collapsed="false">
      <c r="A17" s="12"/>
      <c r="B17" s="12"/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9" t="str">
        <f aca="false">IF(OR(C17="",IFERROR(VLOOKUP(B17,'1 Setup &amp; Keys'!$K$32:$M$41,3,FALSE()),"")=""),"",IFERROR(COUNTIF(D17:R17,"&gt;="&amp;'1 Setup &amp; Keys'!$B$27)/IFERROR(VLOOKUP(B17,'1 Setup &amp; Keys'!$K$32:$M$41,3,FALSE()),""),""))</f>
        <v/>
      </c>
      <c r="U17" s="20" t="n">
        <f aca="false">IF(A17="",0,IF(COUNTIF($A$5:A17,A17)=1,1,0))</f>
        <v>0</v>
      </c>
    </row>
    <row r="18" customFormat="false" ht="15" hidden="false" customHeight="false" outlineLevel="0" collapsed="false">
      <c r="A18" s="12"/>
      <c r="B18" s="12"/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9" t="str">
        <f aca="false">IF(OR(C18="",IFERROR(VLOOKUP(B18,'1 Setup &amp; Keys'!$K$32:$M$41,3,FALSE()),"")=""),"",IFERROR(COUNTIF(D18:R18,"&gt;="&amp;'1 Setup &amp; Keys'!$B$27)/IFERROR(VLOOKUP(B18,'1 Setup &amp; Keys'!$K$32:$M$41,3,FALSE()),""),""))</f>
        <v/>
      </c>
      <c r="U18" s="20" t="n">
        <f aca="false">IF(A18="",0,IF(COUNTIF($A$5:A18,A18)=1,1,0))</f>
        <v>0</v>
      </c>
    </row>
    <row r="19" customFormat="false" ht="15" hidden="false" customHeight="false" outlineLevel="0" collapsed="false">
      <c r="A19" s="12"/>
      <c r="B19" s="12"/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9" t="str">
        <f aca="false">IF(OR(C19="",IFERROR(VLOOKUP(B19,'1 Setup &amp; Keys'!$K$32:$M$41,3,FALSE()),"")=""),"",IFERROR(COUNTIF(D19:R19,"&gt;="&amp;'1 Setup &amp; Keys'!$B$27)/IFERROR(VLOOKUP(B19,'1 Setup &amp; Keys'!$K$32:$M$41,3,FALSE()),""),""))</f>
        <v/>
      </c>
      <c r="U19" s="20" t="n">
        <f aca="false">IF(A19="",0,IF(COUNTIF($A$5:A19,A19)=1,1,0))</f>
        <v>0</v>
      </c>
    </row>
    <row r="20" customFormat="false" ht="15" hidden="false" customHeight="false" outlineLevel="0" collapsed="false">
      <c r="A20" s="12"/>
      <c r="B20" s="12"/>
      <c r="C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9" t="str">
        <f aca="false">IF(OR(C20="",IFERROR(VLOOKUP(B20,'1 Setup &amp; Keys'!$K$32:$M$41,3,FALSE()),"")=""),"",IFERROR(COUNTIF(D20:R20,"&gt;="&amp;'1 Setup &amp; Keys'!$B$27)/IFERROR(VLOOKUP(B20,'1 Setup &amp; Keys'!$K$32:$M$41,3,FALSE()),""),""))</f>
        <v/>
      </c>
      <c r="U20" s="20" t="n">
        <f aca="false">IF(A20="",0,IF(COUNTIF($A$5:A20,A20)=1,1,0))</f>
        <v>0</v>
      </c>
    </row>
    <row r="21" customFormat="false" ht="15" hidden="false" customHeight="false" outlineLevel="0" collapsed="false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9" t="str">
        <f aca="false">IF(OR(C21="",IFERROR(VLOOKUP(B21,'1 Setup &amp; Keys'!$K$32:$M$41,3,FALSE()),"")=""),"",IFERROR(COUNTIF(D21:R21,"&gt;="&amp;'1 Setup &amp; Keys'!$B$27)/IFERROR(VLOOKUP(B21,'1 Setup &amp; Keys'!$K$32:$M$41,3,FALSE()),""),""))</f>
        <v/>
      </c>
      <c r="U21" s="20" t="n">
        <f aca="false">IF(A21="",0,IF(COUNTIF($A$5:A21,A21)=1,1,0))</f>
        <v>0</v>
      </c>
    </row>
    <row r="22" customFormat="false" ht="15" hidden="false" customHeight="false" outlineLevel="0" collapsed="false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9" t="str">
        <f aca="false">IF(OR(C22="",IFERROR(VLOOKUP(B22,'1 Setup &amp; Keys'!$K$32:$M$41,3,FALSE()),"")=""),"",IFERROR(COUNTIF(D22:R22,"&gt;="&amp;'1 Setup &amp; Keys'!$B$27)/IFERROR(VLOOKUP(B22,'1 Setup &amp; Keys'!$K$32:$M$41,3,FALSE()),""),""))</f>
        <v/>
      </c>
      <c r="U22" s="20" t="n">
        <f aca="false">IF(A22="",0,IF(COUNTIF($A$5:A22,A22)=1,1,0))</f>
        <v>0</v>
      </c>
    </row>
    <row r="23" customFormat="false" ht="15" hidden="false" customHeight="false" outlineLevel="0" collapsed="false">
      <c r="A23" s="12"/>
      <c r="B23" s="12"/>
      <c r="C23" s="12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9" t="str">
        <f aca="false">IF(OR(C23="",IFERROR(VLOOKUP(B23,'1 Setup &amp; Keys'!$K$32:$M$41,3,FALSE()),"")=""),"",IFERROR(COUNTIF(D23:R23,"&gt;="&amp;'1 Setup &amp; Keys'!$B$27)/IFERROR(VLOOKUP(B23,'1 Setup &amp; Keys'!$K$32:$M$41,3,FALSE()),""),""))</f>
        <v/>
      </c>
      <c r="U23" s="20" t="n">
        <f aca="false">IF(A23="",0,IF(COUNTIF($A$5:A23,A23)=1,1,0))</f>
        <v>0</v>
      </c>
    </row>
    <row r="24" customFormat="false" ht="15" hidden="false" customHeight="false" outlineLevel="0" collapsed="false">
      <c r="A24" s="12"/>
      <c r="B24" s="12"/>
      <c r="C24" s="12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9" t="str">
        <f aca="false">IF(OR(C24="",IFERROR(VLOOKUP(B24,'1 Setup &amp; Keys'!$K$32:$M$41,3,FALSE()),"")=""),"",IFERROR(COUNTIF(D24:R24,"&gt;="&amp;'1 Setup &amp; Keys'!$B$27)/IFERROR(VLOOKUP(B24,'1 Setup &amp; Keys'!$K$32:$M$41,3,FALSE()),""),""))</f>
        <v/>
      </c>
      <c r="U24" s="20" t="n">
        <f aca="false">IF(A24="",0,IF(COUNTIF($A$5:A24,A24)=1,1,0))</f>
        <v>0</v>
      </c>
    </row>
    <row r="25" customFormat="false" ht="15" hidden="false" customHeight="false" outlineLevel="0" collapsed="false">
      <c r="A25" s="12"/>
      <c r="B25" s="12"/>
      <c r="C25" s="12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9" t="str">
        <f aca="false">IF(OR(C25="",IFERROR(VLOOKUP(B25,'1 Setup &amp; Keys'!$K$32:$M$41,3,FALSE()),"")=""),"",IFERROR(COUNTIF(D25:R25,"&gt;="&amp;'1 Setup &amp; Keys'!$B$27)/IFERROR(VLOOKUP(B25,'1 Setup &amp; Keys'!$K$32:$M$41,3,FALSE()),""),""))</f>
        <v/>
      </c>
      <c r="U25" s="20" t="n">
        <f aca="false">IF(A25="",0,IF(COUNTIF($A$5:A25,A25)=1,1,0))</f>
        <v>0</v>
      </c>
    </row>
    <row r="26" customFormat="false" ht="15" hidden="false" customHeight="false" outlineLevel="0" collapsed="false">
      <c r="A26" s="12"/>
      <c r="B26" s="12"/>
      <c r="C26" s="12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9" t="str">
        <f aca="false">IF(OR(C26="",IFERROR(VLOOKUP(B26,'1 Setup &amp; Keys'!$K$32:$M$41,3,FALSE()),"")=""),"",IFERROR(COUNTIF(D26:R26,"&gt;="&amp;'1 Setup &amp; Keys'!$B$27)/IFERROR(VLOOKUP(B26,'1 Setup &amp; Keys'!$K$32:$M$41,3,FALSE()),""),""))</f>
        <v/>
      </c>
      <c r="U26" s="20" t="n">
        <f aca="false">IF(A26="",0,IF(COUNTIF($A$5:A26,A26)=1,1,0))</f>
        <v>0</v>
      </c>
    </row>
    <row r="27" customFormat="false" ht="15" hidden="false" customHeight="false" outlineLevel="0" collapsed="false">
      <c r="A27" s="12"/>
      <c r="B27" s="12"/>
      <c r="C27" s="12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9" t="str">
        <f aca="false">IF(OR(C27="",IFERROR(VLOOKUP(B27,'1 Setup &amp; Keys'!$K$32:$M$41,3,FALSE()),"")=""),"",IFERROR(COUNTIF(D27:R27,"&gt;="&amp;'1 Setup &amp; Keys'!$B$27)/IFERROR(VLOOKUP(B27,'1 Setup &amp; Keys'!$K$32:$M$41,3,FALSE()),""),""))</f>
        <v/>
      </c>
      <c r="U27" s="20" t="n">
        <f aca="false">IF(A27="",0,IF(COUNTIF($A$5:A27,A27)=1,1,0))</f>
        <v>0</v>
      </c>
    </row>
    <row r="28" customFormat="false" ht="15" hidden="false" customHeight="false" outlineLevel="0" collapsed="false">
      <c r="A28" s="12"/>
      <c r="B28" s="12"/>
      <c r="C28" s="12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9" t="str">
        <f aca="false">IF(OR(C28="",IFERROR(VLOOKUP(B28,'1 Setup &amp; Keys'!$K$32:$M$41,3,FALSE()),"")=""),"",IFERROR(COUNTIF(D28:R28,"&gt;="&amp;'1 Setup &amp; Keys'!$B$27)/IFERROR(VLOOKUP(B28,'1 Setup &amp; Keys'!$K$32:$M$41,3,FALSE()),""),""))</f>
        <v/>
      </c>
      <c r="U28" s="20" t="n">
        <f aca="false">IF(A28="",0,IF(COUNTIF($A$5:A28,A28)=1,1,0))</f>
        <v>0</v>
      </c>
    </row>
    <row r="29" customFormat="false" ht="15" hidden="false" customHeight="false" outlineLevel="0" collapsed="false">
      <c r="A29" s="12"/>
      <c r="B29" s="12"/>
      <c r="C29" s="12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9" t="str">
        <f aca="false">IF(OR(C29="",IFERROR(VLOOKUP(B29,'1 Setup &amp; Keys'!$K$32:$M$41,3,FALSE()),"")=""),"",IFERROR(COUNTIF(D29:R29,"&gt;="&amp;'1 Setup &amp; Keys'!$B$27)/IFERROR(VLOOKUP(B29,'1 Setup &amp; Keys'!$K$32:$M$41,3,FALSE()),""),""))</f>
        <v/>
      </c>
      <c r="U29" s="20" t="n">
        <f aca="false">IF(A29="",0,IF(COUNTIF($A$5:A29,A29)=1,1,0))</f>
        <v>0</v>
      </c>
    </row>
    <row r="30" customFormat="false" ht="15" hidden="false" customHeight="false" outlineLevel="0" collapsed="false">
      <c r="A30" s="12"/>
      <c r="B30" s="12"/>
      <c r="C30" s="12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9" t="str">
        <f aca="false">IF(OR(C30="",IFERROR(VLOOKUP(B30,'1 Setup &amp; Keys'!$K$32:$M$41,3,FALSE()),"")=""),"",IFERROR(COUNTIF(D30:R30,"&gt;="&amp;'1 Setup &amp; Keys'!$B$27)/IFERROR(VLOOKUP(B30,'1 Setup &amp; Keys'!$K$32:$M$41,3,FALSE()),""),""))</f>
        <v/>
      </c>
      <c r="U30" s="20" t="n">
        <f aca="false">IF(A30="",0,IF(COUNTIF($A$5:A30,A30)=1,1,0))</f>
        <v>0</v>
      </c>
    </row>
    <row r="31" customFormat="false" ht="15" hidden="false" customHeight="false" outlineLevel="0" collapsed="false">
      <c r="A31" s="12"/>
      <c r="B31" s="12"/>
      <c r="C31" s="12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9" t="str">
        <f aca="false">IF(OR(C31="",IFERROR(VLOOKUP(B31,'1 Setup &amp; Keys'!$K$32:$M$41,3,FALSE()),"")=""),"",IFERROR(COUNTIF(D31:R31,"&gt;="&amp;'1 Setup &amp; Keys'!$B$27)/IFERROR(VLOOKUP(B31,'1 Setup &amp; Keys'!$K$32:$M$41,3,FALSE()),""),""))</f>
        <v/>
      </c>
      <c r="U31" s="20" t="n">
        <f aca="false">IF(A31="",0,IF(COUNTIF($A$5:A31,A31)=1,1,0))</f>
        <v>0</v>
      </c>
    </row>
    <row r="32" customFormat="false" ht="15" hidden="false" customHeight="false" outlineLevel="0" collapsed="false">
      <c r="A32" s="12"/>
      <c r="B32" s="12"/>
      <c r="C32" s="12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9" t="str">
        <f aca="false">IF(OR(C32="",IFERROR(VLOOKUP(B32,'1 Setup &amp; Keys'!$K$32:$M$41,3,FALSE()),"")=""),"",IFERROR(COUNTIF(D32:R32,"&gt;="&amp;'1 Setup &amp; Keys'!$B$27)/IFERROR(VLOOKUP(B32,'1 Setup &amp; Keys'!$K$32:$M$41,3,FALSE()),""),""))</f>
        <v/>
      </c>
      <c r="U32" s="20" t="n">
        <f aca="false">IF(A32="",0,IF(COUNTIF($A$5:A32,A32)=1,1,0))</f>
        <v>0</v>
      </c>
    </row>
    <row r="33" customFormat="false" ht="15" hidden="false" customHeight="false" outlineLevel="0" collapsed="false">
      <c r="A33" s="12"/>
      <c r="B33" s="12"/>
      <c r="C33" s="12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9" t="str">
        <f aca="false">IF(OR(C33="",IFERROR(VLOOKUP(B33,'1 Setup &amp; Keys'!$K$32:$M$41,3,FALSE()),"")=""),"",IFERROR(COUNTIF(D33:R33,"&gt;="&amp;'1 Setup &amp; Keys'!$B$27)/IFERROR(VLOOKUP(B33,'1 Setup &amp; Keys'!$K$32:$M$41,3,FALSE()),""),""))</f>
        <v/>
      </c>
      <c r="U33" s="20" t="n">
        <f aca="false">IF(A33="",0,IF(COUNTIF($A$5:A33,A33)=1,1,0))</f>
        <v>0</v>
      </c>
    </row>
    <row r="34" customFormat="false" ht="15" hidden="false" customHeight="false" outlineLevel="0" collapsed="false">
      <c r="A34" s="12"/>
      <c r="B34" s="12"/>
      <c r="C34" s="12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9" t="str">
        <f aca="false">IF(OR(C34="",IFERROR(VLOOKUP(B34,'1 Setup &amp; Keys'!$K$32:$M$41,3,FALSE()),"")=""),"",IFERROR(COUNTIF(D34:R34,"&gt;="&amp;'1 Setup &amp; Keys'!$B$27)/IFERROR(VLOOKUP(B34,'1 Setup &amp; Keys'!$K$32:$M$41,3,FALSE()),""),""))</f>
        <v/>
      </c>
      <c r="U34" s="20" t="n">
        <f aca="false">IF(A34="",0,IF(COUNTIF($A$5:A34,A34)=1,1,0))</f>
        <v>0</v>
      </c>
    </row>
    <row r="35" customFormat="false" ht="15" hidden="false" customHeight="false" outlineLevel="0" collapsed="false">
      <c r="A35" s="12"/>
      <c r="B35" s="12"/>
      <c r="C35" s="12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9" t="str">
        <f aca="false">IF(OR(C35="",IFERROR(VLOOKUP(B35,'1 Setup &amp; Keys'!$K$32:$M$41,3,FALSE()),"")=""),"",IFERROR(COUNTIF(D35:R35,"&gt;="&amp;'1 Setup &amp; Keys'!$B$27)/IFERROR(VLOOKUP(B35,'1 Setup &amp; Keys'!$K$32:$M$41,3,FALSE()),""),""))</f>
        <v/>
      </c>
      <c r="U35" s="20" t="n">
        <f aca="false">IF(A35="",0,IF(COUNTIF($A$5:A35,A35)=1,1,0))</f>
        <v>0</v>
      </c>
    </row>
    <row r="36" customFormat="false" ht="15" hidden="false" customHeight="false" outlineLevel="0" collapsed="false">
      <c r="A36" s="12"/>
      <c r="B36" s="12"/>
      <c r="C36" s="12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9" t="str">
        <f aca="false">IF(OR(C36="",IFERROR(VLOOKUP(B36,'1 Setup &amp; Keys'!$K$32:$M$41,3,FALSE()),"")=""),"",IFERROR(COUNTIF(D36:R36,"&gt;="&amp;'1 Setup &amp; Keys'!$B$27)/IFERROR(VLOOKUP(B36,'1 Setup &amp; Keys'!$K$32:$M$41,3,FALSE()),""),""))</f>
        <v/>
      </c>
      <c r="U36" s="20" t="n">
        <f aca="false">IF(A36="",0,IF(COUNTIF($A$5:A36,A36)=1,1,0))</f>
        <v>0</v>
      </c>
    </row>
    <row r="37" customFormat="false" ht="15" hidden="false" customHeight="false" outlineLevel="0" collapsed="false">
      <c r="A37" s="12"/>
      <c r="B37" s="12"/>
      <c r="C37" s="12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9" t="str">
        <f aca="false">IF(OR(C37="",IFERROR(VLOOKUP(B37,'1 Setup &amp; Keys'!$K$32:$M$41,3,FALSE()),"")=""),"",IFERROR(COUNTIF(D37:R37,"&gt;="&amp;'1 Setup &amp; Keys'!$B$27)/IFERROR(VLOOKUP(B37,'1 Setup &amp; Keys'!$K$32:$M$41,3,FALSE()),""),""))</f>
        <v/>
      </c>
      <c r="U37" s="20" t="n">
        <f aca="false">IF(A37="",0,IF(COUNTIF($A$5:A37,A37)=1,1,0))</f>
        <v>0</v>
      </c>
    </row>
    <row r="38" customFormat="false" ht="15" hidden="false" customHeight="false" outlineLevel="0" collapsed="false">
      <c r="A38" s="12"/>
      <c r="B38" s="12"/>
      <c r="C38" s="12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9" t="str">
        <f aca="false">IF(OR(C38="",IFERROR(VLOOKUP(B38,'1 Setup &amp; Keys'!$K$32:$M$41,3,FALSE()),"")=""),"",IFERROR(COUNTIF(D38:R38,"&gt;="&amp;'1 Setup &amp; Keys'!$B$27)/IFERROR(VLOOKUP(B38,'1 Setup &amp; Keys'!$K$32:$M$41,3,FALSE()),""),""))</f>
        <v/>
      </c>
      <c r="U38" s="20" t="n">
        <f aca="false">IF(A38="",0,IF(COUNTIF($A$5:A38,A38)=1,1,0))</f>
        <v>0</v>
      </c>
    </row>
    <row r="39" customFormat="false" ht="15" hidden="false" customHeight="false" outlineLevel="0" collapsed="false">
      <c r="A39" s="12"/>
      <c r="B39" s="12"/>
      <c r="C39" s="12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9" t="str">
        <f aca="false">IF(OR(C39="",IFERROR(VLOOKUP(B39,'1 Setup &amp; Keys'!$K$32:$M$41,3,FALSE()),"")=""),"",IFERROR(COUNTIF(D39:R39,"&gt;="&amp;'1 Setup &amp; Keys'!$B$27)/IFERROR(VLOOKUP(B39,'1 Setup &amp; Keys'!$K$32:$M$41,3,FALSE()),""),""))</f>
        <v/>
      </c>
      <c r="U39" s="20" t="n">
        <f aca="false">IF(A39="",0,IF(COUNTIF($A$5:A39,A39)=1,1,0))</f>
        <v>0</v>
      </c>
    </row>
    <row r="40" customFormat="false" ht="15" hidden="false" customHeight="false" outlineLevel="0" collapsed="false">
      <c r="A40" s="12"/>
      <c r="B40" s="12"/>
      <c r="C40" s="12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9" t="str">
        <f aca="false">IF(OR(C40="",IFERROR(VLOOKUP(B40,'1 Setup &amp; Keys'!$K$32:$M$41,3,FALSE()),"")=""),"",IFERROR(COUNTIF(D40:R40,"&gt;="&amp;'1 Setup &amp; Keys'!$B$27)/IFERROR(VLOOKUP(B40,'1 Setup &amp; Keys'!$K$32:$M$41,3,FALSE()),""),""))</f>
        <v/>
      </c>
      <c r="U40" s="20" t="n">
        <f aca="false">IF(A40="",0,IF(COUNTIF($A$5:A40,A40)=1,1,0))</f>
        <v>0</v>
      </c>
    </row>
    <row r="41" customFormat="false" ht="15" hidden="false" customHeight="false" outlineLevel="0" collapsed="false">
      <c r="A41" s="12"/>
      <c r="B41" s="12"/>
      <c r="C41" s="12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9" t="str">
        <f aca="false">IF(OR(C41="",IFERROR(VLOOKUP(B41,'1 Setup &amp; Keys'!$K$32:$M$41,3,FALSE()),"")=""),"",IFERROR(COUNTIF(D41:R41,"&gt;="&amp;'1 Setup &amp; Keys'!$B$27)/IFERROR(VLOOKUP(B41,'1 Setup &amp; Keys'!$K$32:$M$41,3,FALSE()),""),""))</f>
        <v/>
      </c>
      <c r="U41" s="20" t="n">
        <f aca="false">IF(A41="",0,IF(COUNTIF($A$5:A41,A41)=1,1,0))</f>
        <v>0</v>
      </c>
    </row>
    <row r="42" customFormat="false" ht="15" hidden="false" customHeight="false" outlineLevel="0" collapsed="false">
      <c r="A42" s="12"/>
      <c r="B42" s="12"/>
      <c r="C42" s="12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9" t="str">
        <f aca="false">IF(OR(C42="",IFERROR(VLOOKUP(B42,'1 Setup &amp; Keys'!$K$32:$M$41,3,FALSE()),"")=""),"",IFERROR(COUNTIF(D42:R42,"&gt;="&amp;'1 Setup &amp; Keys'!$B$27)/IFERROR(VLOOKUP(B42,'1 Setup &amp; Keys'!$K$32:$M$41,3,FALSE()),""),""))</f>
        <v/>
      </c>
      <c r="U42" s="20" t="n">
        <f aca="false">IF(A42="",0,IF(COUNTIF($A$5:A42,A42)=1,1,0))</f>
        <v>0</v>
      </c>
    </row>
    <row r="43" customFormat="false" ht="15" hidden="false" customHeight="false" outlineLevel="0" collapsed="false">
      <c r="A43" s="12"/>
      <c r="B43" s="12"/>
      <c r="C43" s="12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9" t="str">
        <f aca="false">IF(OR(C43="",IFERROR(VLOOKUP(B43,'1 Setup &amp; Keys'!$K$32:$M$41,3,FALSE()),"")=""),"",IFERROR(COUNTIF(D43:R43,"&gt;="&amp;'1 Setup &amp; Keys'!$B$27)/IFERROR(VLOOKUP(B43,'1 Setup &amp; Keys'!$K$32:$M$41,3,FALSE()),""),""))</f>
        <v/>
      </c>
      <c r="U43" s="20" t="n">
        <f aca="false">IF(A43="",0,IF(COUNTIF($A$5:A43,A43)=1,1,0))</f>
        <v>0</v>
      </c>
    </row>
    <row r="44" customFormat="false" ht="15" hidden="false" customHeight="false" outlineLevel="0" collapsed="false">
      <c r="A44" s="12"/>
      <c r="B44" s="12"/>
      <c r="C44" s="12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9" t="str">
        <f aca="false">IF(OR(C44="",IFERROR(VLOOKUP(B44,'1 Setup &amp; Keys'!$K$32:$M$41,3,FALSE()),"")=""),"",IFERROR(COUNTIF(D44:R44,"&gt;="&amp;'1 Setup &amp; Keys'!$B$27)/IFERROR(VLOOKUP(B44,'1 Setup &amp; Keys'!$K$32:$M$41,3,FALSE()),""),""))</f>
        <v/>
      </c>
      <c r="U44" s="20" t="n">
        <f aca="false">IF(A44="",0,IF(COUNTIF($A$5:A44,A44)=1,1,0))</f>
        <v>0</v>
      </c>
    </row>
    <row r="45" customFormat="false" ht="15" hidden="false" customHeight="false" outlineLevel="0" collapsed="false">
      <c r="A45" s="12"/>
      <c r="B45" s="12"/>
      <c r="C45" s="12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9" t="str">
        <f aca="false">IF(OR(C45="",IFERROR(VLOOKUP(B45,'1 Setup &amp; Keys'!$K$32:$M$41,3,FALSE()),"")=""),"",IFERROR(COUNTIF(D45:R45,"&gt;="&amp;'1 Setup &amp; Keys'!$B$27)/IFERROR(VLOOKUP(B45,'1 Setup &amp; Keys'!$K$32:$M$41,3,FALSE()),""),""))</f>
        <v/>
      </c>
      <c r="U45" s="20" t="n">
        <f aca="false">IF(A45="",0,IF(COUNTIF($A$5:A45,A45)=1,1,0))</f>
        <v>0</v>
      </c>
    </row>
    <row r="46" customFormat="false" ht="15" hidden="false" customHeight="false" outlineLevel="0" collapsed="false">
      <c r="A46" s="12"/>
      <c r="B46" s="12"/>
      <c r="C46" s="12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9" t="str">
        <f aca="false">IF(OR(C46="",IFERROR(VLOOKUP(B46,'1 Setup &amp; Keys'!$K$32:$M$41,3,FALSE()),"")=""),"",IFERROR(COUNTIF(D46:R46,"&gt;="&amp;'1 Setup &amp; Keys'!$B$27)/IFERROR(VLOOKUP(B46,'1 Setup &amp; Keys'!$K$32:$M$41,3,FALSE()),""),""))</f>
        <v/>
      </c>
      <c r="U46" s="20" t="n">
        <f aca="false">IF(A46="",0,IF(COUNTIF($A$5:A46,A46)=1,1,0))</f>
        <v>0</v>
      </c>
    </row>
    <row r="47" customFormat="false" ht="15" hidden="false" customHeight="false" outlineLevel="0" collapsed="false">
      <c r="A47" s="12"/>
      <c r="B47" s="12"/>
      <c r="C47" s="12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9" t="str">
        <f aca="false">IF(OR(C47="",IFERROR(VLOOKUP(B47,'1 Setup &amp; Keys'!$K$32:$M$41,3,FALSE()),"")=""),"",IFERROR(COUNTIF(D47:R47,"&gt;="&amp;'1 Setup &amp; Keys'!$B$27)/IFERROR(VLOOKUP(B47,'1 Setup &amp; Keys'!$K$32:$M$41,3,FALSE()),""),""))</f>
        <v/>
      </c>
      <c r="U47" s="20" t="n">
        <f aca="false">IF(A47="",0,IF(COUNTIF($A$5:A47,A47)=1,1,0))</f>
        <v>0</v>
      </c>
    </row>
    <row r="48" customFormat="false" ht="15" hidden="false" customHeight="false" outlineLevel="0" collapsed="false">
      <c r="A48" s="12"/>
      <c r="B48" s="12"/>
      <c r="C48" s="12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9" t="str">
        <f aca="false">IF(OR(C48="",IFERROR(VLOOKUP(B48,'1 Setup &amp; Keys'!$K$32:$M$41,3,FALSE()),"")=""),"",IFERROR(COUNTIF(D48:R48,"&gt;="&amp;'1 Setup &amp; Keys'!$B$27)/IFERROR(VLOOKUP(B48,'1 Setup &amp; Keys'!$K$32:$M$41,3,FALSE()),""),""))</f>
        <v/>
      </c>
      <c r="U48" s="20" t="n">
        <f aca="false">IF(A48="",0,IF(COUNTIF($A$5:A48,A48)=1,1,0))</f>
        <v>0</v>
      </c>
    </row>
    <row r="49" customFormat="false" ht="15" hidden="false" customHeight="false" outlineLevel="0" collapsed="false">
      <c r="A49" s="12"/>
      <c r="B49" s="12"/>
      <c r="C49" s="12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9" t="str">
        <f aca="false">IF(OR(C49="",IFERROR(VLOOKUP(B49,'1 Setup &amp; Keys'!$K$32:$M$41,3,FALSE()),"")=""),"",IFERROR(COUNTIF(D49:R49,"&gt;="&amp;'1 Setup &amp; Keys'!$B$27)/IFERROR(VLOOKUP(B49,'1 Setup &amp; Keys'!$K$32:$M$41,3,FALSE()),""),""))</f>
        <v/>
      </c>
      <c r="U49" s="20" t="n">
        <f aca="false">IF(A49="",0,IF(COUNTIF($A$5:A49,A49)=1,1,0))</f>
        <v>0</v>
      </c>
    </row>
    <row r="50" customFormat="false" ht="15" hidden="false" customHeight="false" outlineLevel="0" collapsed="false">
      <c r="A50" s="12"/>
      <c r="B50" s="12"/>
      <c r="C50" s="12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9" t="str">
        <f aca="false">IF(OR(C50="",IFERROR(VLOOKUP(B50,'1 Setup &amp; Keys'!$K$32:$M$41,3,FALSE()),"")=""),"",IFERROR(COUNTIF(D50:R50,"&gt;="&amp;'1 Setup &amp; Keys'!$B$27)/IFERROR(VLOOKUP(B50,'1 Setup &amp; Keys'!$K$32:$M$41,3,FALSE()),""),""))</f>
        <v/>
      </c>
      <c r="U50" s="20" t="n">
        <f aca="false">IF(A50="",0,IF(COUNTIF($A$5:A50,A50)=1,1,0))</f>
        <v>0</v>
      </c>
    </row>
    <row r="51" customFormat="false" ht="15" hidden="false" customHeight="false" outlineLevel="0" collapsed="false">
      <c r="A51" s="12"/>
      <c r="B51" s="12"/>
      <c r="C51" s="12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9" t="str">
        <f aca="false">IF(OR(C51="",IFERROR(VLOOKUP(B51,'1 Setup &amp; Keys'!$K$32:$M$41,3,FALSE()),"")=""),"",IFERROR(COUNTIF(D51:R51,"&gt;="&amp;'1 Setup &amp; Keys'!$B$27)/IFERROR(VLOOKUP(B51,'1 Setup &amp; Keys'!$K$32:$M$41,3,FALSE()),""),""))</f>
        <v/>
      </c>
      <c r="U51" s="20" t="n">
        <f aca="false">IF(A51="",0,IF(COUNTIF($A$5:A51,A51)=1,1,0))</f>
        <v>0</v>
      </c>
    </row>
    <row r="52" customFormat="false" ht="15" hidden="false" customHeight="false" outlineLevel="0" collapsed="false">
      <c r="A52" s="12"/>
      <c r="B52" s="12"/>
      <c r="C52" s="12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9" t="str">
        <f aca="false">IF(OR(C52="",IFERROR(VLOOKUP(B52,'1 Setup &amp; Keys'!$K$32:$M$41,3,FALSE()),"")=""),"",IFERROR(COUNTIF(D52:R52,"&gt;="&amp;'1 Setup &amp; Keys'!$B$27)/IFERROR(VLOOKUP(B52,'1 Setup &amp; Keys'!$K$32:$M$41,3,FALSE()),""),""))</f>
        <v/>
      </c>
      <c r="U52" s="20" t="n">
        <f aca="false">IF(A52="",0,IF(COUNTIF($A$5:A52,A52)=1,1,0))</f>
        <v>0</v>
      </c>
    </row>
    <row r="53" customFormat="false" ht="15" hidden="false" customHeight="false" outlineLevel="0" collapsed="false">
      <c r="A53" s="12"/>
      <c r="B53" s="12"/>
      <c r="C53" s="12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9" t="str">
        <f aca="false">IF(OR(C53="",IFERROR(VLOOKUP(B53,'1 Setup &amp; Keys'!$K$32:$M$41,3,FALSE()),"")=""),"",IFERROR(COUNTIF(D53:R53,"&gt;="&amp;'1 Setup &amp; Keys'!$B$27)/IFERROR(VLOOKUP(B53,'1 Setup &amp; Keys'!$K$32:$M$41,3,FALSE()),""),""))</f>
        <v/>
      </c>
      <c r="U53" s="20" t="n">
        <f aca="false">IF(A53="",0,IF(COUNTIF($A$5:A53,A53)=1,1,0))</f>
        <v>0</v>
      </c>
    </row>
    <row r="54" customFormat="false" ht="15" hidden="false" customHeight="false" outlineLevel="0" collapsed="false">
      <c r="A54" s="12"/>
      <c r="B54" s="12"/>
      <c r="C54" s="12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9" t="str">
        <f aca="false">IF(OR(C54="",IFERROR(VLOOKUP(B54,'1 Setup &amp; Keys'!$K$32:$M$41,3,FALSE()),"")=""),"",IFERROR(COUNTIF(D54:R54,"&gt;="&amp;'1 Setup &amp; Keys'!$B$27)/IFERROR(VLOOKUP(B54,'1 Setup &amp; Keys'!$K$32:$M$41,3,FALSE()),""),""))</f>
        <v/>
      </c>
      <c r="U54" s="20" t="n">
        <f aca="false">IF(A54="",0,IF(COUNTIF($A$5:A54,A54)=1,1,0))</f>
        <v>0</v>
      </c>
    </row>
    <row r="55" customFormat="false" ht="15" hidden="false" customHeight="false" outlineLevel="0" collapsed="false">
      <c r="A55" s="12"/>
      <c r="B55" s="12"/>
      <c r="C55" s="12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9" t="str">
        <f aca="false">IF(OR(C55="",IFERROR(VLOOKUP(B55,'1 Setup &amp; Keys'!$K$32:$M$41,3,FALSE()),"")=""),"",IFERROR(COUNTIF(D55:R55,"&gt;="&amp;'1 Setup &amp; Keys'!$B$27)/IFERROR(VLOOKUP(B55,'1 Setup &amp; Keys'!$K$32:$M$41,3,FALSE()),""),""))</f>
        <v/>
      </c>
      <c r="U55" s="20" t="n">
        <f aca="false">IF(A55="",0,IF(COUNTIF($A$5:A55,A55)=1,1,0))</f>
        <v>0</v>
      </c>
    </row>
    <row r="56" customFormat="false" ht="15" hidden="false" customHeight="false" outlineLevel="0" collapsed="false">
      <c r="A56" s="12"/>
      <c r="B56" s="12"/>
      <c r="C56" s="12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9" t="str">
        <f aca="false">IF(OR(C56="",IFERROR(VLOOKUP(B56,'1 Setup &amp; Keys'!$K$32:$M$41,3,FALSE()),"")=""),"",IFERROR(COUNTIF(D56:R56,"&gt;="&amp;'1 Setup &amp; Keys'!$B$27)/IFERROR(VLOOKUP(B56,'1 Setup &amp; Keys'!$K$32:$M$41,3,FALSE()),""),""))</f>
        <v/>
      </c>
      <c r="U56" s="20" t="n">
        <f aca="false">IF(A56="",0,IF(COUNTIF($A$5:A56,A56)=1,1,0))</f>
        <v>0</v>
      </c>
    </row>
    <row r="57" customFormat="false" ht="15" hidden="false" customHeight="false" outlineLevel="0" collapsed="false">
      <c r="A57" s="12"/>
      <c r="B57" s="12"/>
      <c r="C57" s="12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9" t="str">
        <f aca="false">IF(OR(C57="",IFERROR(VLOOKUP(B57,'1 Setup &amp; Keys'!$K$32:$M$41,3,FALSE()),"")=""),"",IFERROR(COUNTIF(D57:R57,"&gt;="&amp;'1 Setup &amp; Keys'!$B$27)/IFERROR(VLOOKUP(B57,'1 Setup &amp; Keys'!$K$32:$M$41,3,FALSE()),""),""))</f>
        <v/>
      </c>
      <c r="U57" s="20" t="n">
        <f aca="false">IF(A57="",0,IF(COUNTIF($A$5:A57,A57)=1,1,0))</f>
        <v>0</v>
      </c>
    </row>
    <row r="58" customFormat="false" ht="15" hidden="false" customHeight="false" outlineLevel="0" collapsed="false">
      <c r="A58" s="12"/>
      <c r="B58" s="12"/>
      <c r="C58" s="12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9" t="str">
        <f aca="false">IF(OR(C58="",IFERROR(VLOOKUP(B58,'1 Setup &amp; Keys'!$K$32:$M$41,3,FALSE()),"")=""),"",IFERROR(COUNTIF(D58:R58,"&gt;="&amp;'1 Setup &amp; Keys'!$B$27)/IFERROR(VLOOKUP(B58,'1 Setup &amp; Keys'!$K$32:$M$41,3,FALSE()),""),""))</f>
        <v/>
      </c>
      <c r="U58" s="20" t="n">
        <f aca="false">IF(A58="",0,IF(COUNTIF($A$5:A58,A58)=1,1,0))</f>
        <v>0</v>
      </c>
    </row>
    <row r="59" customFormat="false" ht="15" hidden="false" customHeight="false" outlineLevel="0" collapsed="false">
      <c r="A59" s="12"/>
      <c r="B59" s="12"/>
      <c r="C59" s="12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9" t="str">
        <f aca="false">IF(OR(C59="",IFERROR(VLOOKUP(B59,'1 Setup &amp; Keys'!$K$32:$M$41,3,FALSE()),"")=""),"",IFERROR(COUNTIF(D59:R59,"&gt;="&amp;'1 Setup &amp; Keys'!$B$27)/IFERROR(VLOOKUP(B59,'1 Setup &amp; Keys'!$K$32:$M$41,3,FALSE()),""),""))</f>
        <v/>
      </c>
      <c r="U59" s="20" t="n">
        <f aca="false">IF(A59="",0,IF(COUNTIF($A$5:A59,A59)=1,1,0))</f>
        <v>0</v>
      </c>
    </row>
    <row r="60" customFormat="false" ht="15" hidden="false" customHeight="false" outlineLevel="0" collapsed="false">
      <c r="A60" s="12"/>
      <c r="B60" s="12"/>
      <c r="C60" s="12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9" t="str">
        <f aca="false">IF(OR(C60="",IFERROR(VLOOKUP(B60,'1 Setup &amp; Keys'!$K$32:$M$41,3,FALSE()),"")=""),"",IFERROR(COUNTIF(D60:R60,"&gt;="&amp;'1 Setup &amp; Keys'!$B$27)/IFERROR(VLOOKUP(B60,'1 Setup &amp; Keys'!$K$32:$M$41,3,FALSE()),""),""))</f>
        <v/>
      </c>
      <c r="U60" s="20" t="n">
        <f aca="false">IF(A60="",0,IF(COUNTIF($A$5:A60,A60)=1,1,0))</f>
        <v>0</v>
      </c>
    </row>
    <row r="61" customFormat="false" ht="15" hidden="false" customHeight="false" outlineLevel="0" collapsed="false">
      <c r="A61" s="12"/>
      <c r="B61" s="12"/>
      <c r="C61" s="12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9" t="str">
        <f aca="false">IF(OR(C61="",IFERROR(VLOOKUP(B61,'1 Setup &amp; Keys'!$K$32:$M$41,3,FALSE()),"")=""),"",IFERROR(COUNTIF(D61:R61,"&gt;="&amp;'1 Setup &amp; Keys'!$B$27)/IFERROR(VLOOKUP(B61,'1 Setup &amp; Keys'!$K$32:$M$41,3,FALSE()),""),""))</f>
        <v/>
      </c>
      <c r="U61" s="20" t="n">
        <f aca="false">IF(A61="",0,IF(COUNTIF($A$5:A61,A61)=1,1,0))</f>
        <v>0</v>
      </c>
    </row>
    <row r="62" customFormat="false" ht="15" hidden="false" customHeight="false" outlineLevel="0" collapsed="false">
      <c r="A62" s="12"/>
      <c r="B62" s="12"/>
      <c r="C62" s="12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9" t="str">
        <f aca="false">IF(OR(C62="",IFERROR(VLOOKUP(B62,'1 Setup &amp; Keys'!$K$32:$M$41,3,FALSE()),"")=""),"",IFERROR(COUNTIF(D62:R62,"&gt;="&amp;'1 Setup &amp; Keys'!$B$27)/IFERROR(VLOOKUP(B62,'1 Setup &amp; Keys'!$K$32:$M$41,3,FALSE()),""),""))</f>
        <v/>
      </c>
      <c r="U62" s="20" t="n">
        <f aca="false">IF(A62="",0,IF(COUNTIF($A$5:A62,A62)=1,1,0))</f>
        <v>0</v>
      </c>
    </row>
    <row r="63" customFormat="false" ht="15" hidden="false" customHeight="false" outlineLevel="0" collapsed="false">
      <c r="A63" s="12"/>
      <c r="B63" s="12"/>
      <c r="C63" s="12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9" t="str">
        <f aca="false">IF(OR(C63="",IFERROR(VLOOKUP(B63,'1 Setup &amp; Keys'!$K$32:$M$41,3,FALSE()),"")=""),"",IFERROR(COUNTIF(D63:R63,"&gt;="&amp;'1 Setup &amp; Keys'!$B$27)/IFERROR(VLOOKUP(B63,'1 Setup &amp; Keys'!$K$32:$M$41,3,FALSE()),""),""))</f>
        <v/>
      </c>
      <c r="U63" s="20" t="n">
        <f aca="false">IF(A63="",0,IF(COUNTIF($A$5:A63,A63)=1,1,0))</f>
        <v>0</v>
      </c>
    </row>
    <row r="64" customFormat="false" ht="15" hidden="false" customHeight="false" outlineLevel="0" collapsed="false">
      <c r="A64" s="12"/>
      <c r="B64" s="12"/>
      <c r="C64" s="12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9" t="str">
        <f aca="false">IF(OR(C64="",IFERROR(VLOOKUP(B64,'1 Setup &amp; Keys'!$K$32:$M$41,3,FALSE()),"")=""),"",IFERROR(COUNTIF(D64:R64,"&gt;="&amp;'1 Setup &amp; Keys'!$B$27)/IFERROR(VLOOKUP(B64,'1 Setup &amp; Keys'!$K$32:$M$41,3,FALSE()),""),""))</f>
        <v/>
      </c>
      <c r="U64" s="20" t="n">
        <f aca="false">IF(A64="",0,IF(COUNTIF($A$5:A64,A64)=1,1,0))</f>
        <v>0</v>
      </c>
    </row>
    <row r="65" customFormat="false" ht="15" hidden="false" customHeight="false" outlineLevel="0" collapsed="false">
      <c r="A65" s="12"/>
      <c r="B65" s="12"/>
      <c r="C65" s="12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9" t="str">
        <f aca="false">IF(OR(C65="",IFERROR(VLOOKUP(B65,'1 Setup &amp; Keys'!$K$32:$M$41,3,FALSE()),"")=""),"",IFERROR(COUNTIF(D65:R65,"&gt;="&amp;'1 Setup &amp; Keys'!$B$27)/IFERROR(VLOOKUP(B65,'1 Setup &amp; Keys'!$K$32:$M$41,3,FALSE()),""),""))</f>
        <v/>
      </c>
      <c r="U65" s="20" t="n">
        <f aca="false">IF(A65="",0,IF(COUNTIF($A$5:A65,A65)=1,1,0))</f>
        <v>0</v>
      </c>
    </row>
    <row r="66" customFormat="false" ht="15" hidden="false" customHeight="false" outlineLevel="0" collapsed="false">
      <c r="A66" s="12"/>
      <c r="B66" s="12"/>
      <c r="C66" s="12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9" t="str">
        <f aca="false">IF(OR(C66="",IFERROR(VLOOKUP(B66,'1 Setup &amp; Keys'!$K$32:$M$41,3,FALSE()),"")=""),"",IFERROR(COUNTIF(D66:R66,"&gt;="&amp;'1 Setup &amp; Keys'!$B$27)/IFERROR(VLOOKUP(B66,'1 Setup &amp; Keys'!$K$32:$M$41,3,FALSE()),""),""))</f>
        <v/>
      </c>
      <c r="U66" s="20" t="n">
        <f aca="false">IF(A66="",0,IF(COUNTIF($A$5:A66,A66)=1,1,0))</f>
        <v>0</v>
      </c>
    </row>
    <row r="67" customFormat="false" ht="15" hidden="false" customHeight="false" outlineLevel="0" collapsed="false">
      <c r="A67" s="12"/>
      <c r="B67" s="12"/>
      <c r="C67" s="12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9" t="str">
        <f aca="false">IF(OR(C67="",IFERROR(VLOOKUP(B67,'1 Setup &amp; Keys'!$K$32:$M$41,3,FALSE()),"")=""),"",IFERROR(COUNTIF(D67:R67,"&gt;="&amp;'1 Setup &amp; Keys'!$B$27)/IFERROR(VLOOKUP(B67,'1 Setup &amp; Keys'!$K$32:$M$41,3,FALSE()),""),""))</f>
        <v/>
      </c>
      <c r="U67" s="20" t="n">
        <f aca="false">IF(A67="",0,IF(COUNTIF($A$5:A67,A67)=1,1,0))</f>
        <v>0</v>
      </c>
    </row>
    <row r="68" customFormat="false" ht="15" hidden="false" customHeight="false" outlineLevel="0" collapsed="false">
      <c r="A68" s="12"/>
      <c r="B68" s="12"/>
      <c r="C68" s="12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9" t="str">
        <f aca="false">IF(OR(C68="",IFERROR(VLOOKUP(B68,'1 Setup &amp; Keys'!$K$32:$M$41,3,FALSE()),"")=""),"",IFERROR(COUNTIF(D68:R68,"&gt;="&amp;'1 Setup &amp; Keys'!$B$27)/IFERROR(VLOOKUP(B68,'1 Setup &amp; Keys'!$K$32:$M$41,3,FALSE()),""),""))</f>
        <v/>
      </c>
      <c r="U68" s="20" t="n">
        <f aca="false">IF(A68="",0,IF(COUNTIF($A$5:A68,A68)=1,1,0))</f>
        <v>0</v>
      </c>
    </row>
    <row r="69" customFormat="false" ht="15" hidden="false" customHeight="false" outlineLevel="0" collapsed="false">
      <c r="A69" s="12"/>
      <c r="B69" s="12"/>
      <c r="C69" s="12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9" t="str">
        <f aca="false">IF(OR(C69="",IFERROR(VLOOKUP(B69,'1 Setup &amp; Keys'!$K$32:$M$41,3,FALSE()),"")=""),"",IFERROR(COUNTIF(D69:R69,"&gt;="&amp;'1 Setup &amp; Keys'!$B$27)/IFERROR(VLOOKUP(B69,'1 Setup &amp; Keys'!$K$32:$M$41,3,FALSE()),""),""))</f>
        <v/>
      </c>
      <c r="U69" s="20" t="n">
        <f aca="false">IF(A69="",0,IF(COUNTIF($A$5:A69,A69)=1,1,0))</f>
        <v>0</v>
      </c>
    </row>
    <row r="70" customFormat="false" ht="15" hidden="false" customHeight="false" outlineLevel="0" collapsed="false">
      <c r="A70" s="12"/>
      <c r="B70" s="12"/>
      <c r="C70" s="12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9" t="str">
        <f aca="false">IF(OR(C70="",IFERROR(VLOOKUP(B70,'1 Setup &amp; Keys'!$K$32:$M$41,3,FALSE()),"")=""),"",IFERROR(COUNTIF(D70:R70,"&gt;="&amp;'1 Setup &amp; Keys'!$B$27)/IFERROR(VLOOKUP(B70,'1 Setup &amp; Keys'!$K$32:$M$41,3,FALSE()),""),""))</f>
        <v/>
      </c>
      <c r="U70" s="20" t="n">
        <f aca="false">IF(A70="",0,IF(COUNTIF($A$5:A70,A70)=1,1,0))</f>
        <v>0</v>
      </c>
    </row>
    <row r="71" customFormat="false" ht="15" hidden="false" customHeight="false" outlineLevel="0" collapsed="false">
      <c r="A71" s="12"/>
      <c r="B71" s="12"/>
      <c r="C71" s="12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9" t="str">
        <f aca="false">IF(OR(C71="",IFERROR(VLOOKUP(B71,'1 Setup &amp; Keys'!$K$32:$M$41,3,FALSE()),"")=""),"",IFERROR(COUNTIF(D71:R71,"&gt;="&amp;'1 Setup &amp; Keys'!$B$27)/IFERROR(VLOOKUP(B71,'1 Setup &amp; Keys'!$K$32:$M$41,3,FALSE()),""),""))</f>
        <v/>
      </c>
      <c r="U71" s="20" t="n">
        <f aca="false">IF(A71="",0,IF(COUNTIF($A$5:A71,A71)=1,1,0))</f>
        <v>0</v>
      </c>
    </row>
    <row r="72" customFormat="false" ht="15" hidden="false" customHeight="false" outlineLevel="0" collapsed="false">
      <c r="A72" s="12"/>
      <c r="B72" s="12"/>
      <c r="C72" s="12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9" t="str">
        <f aca="false">IF(OR(C72="",IFERROR(VLOOKUP(B72,'1 Setup &amp; Keys'!$K$32:$M$41,3,FALSE()),"")=""),"",IFERROR(COUNTIF(D72:R72,"&gt;="&amp;'1 Setup &amp; Keys'!$B$27)/IFERROR(VLOOKUP(B72,'1 Setup &amp; Keys'!$K$32:$M$41,3,FALSE()),""),""))</f>
        <v/>
      </c>
      <c r="U72" s="20" t="n">
        <f aca="false">IF(A72="",0,IF(COUNTIF($A$5:A72,A72)=1,1,0))</f>
        <v>0</v>
      </c>
    </row>
    <row r="73" customFormat="false" ht="15" hidden="false" customHeight="false" outlineLevel="0" collapsed="false">
      <c r="A73" s="12"/>
      <c r="B73" s="12"/>
      <c r="C73" s="12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9" t="str">
        <f aca="false">IF(OR(C73="",IFERROR(VLOOKUP(B73,'1 Setup &amp; Keys'!$K$32:$M$41,3,FALSE()),"")=""),"",IFERROR(COUNTIF(D73:R73,"&gt;="&amp;'1 Setup &amp; Keys'!$B$27)/IFERROR(VLOOKUP(B73,'1 Setup &amp; Keys'!$K$32:$M$41,3,FALSE()),""),""))</f>
        <v/>
      </c>
      <c r="U73" s="20" t="n">
        <f aca="false">IF(A73="",0,IF(COUNTIF($A$5:A73,A73)=1,1,0))</f>
        <v>0</v>
      </c>
    </row>
    <row r="74" customFormat="false" ht="15" hidden="false" customHeight="false" outlineLevel="0" collapsed="false">
      <c r="A74" s="12"/>
      <c r="B74" s="12"/>
      <c r="C74" s="12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9" t="str">
        <f aca="false">IF(OR(C74="",IFERROR(VLOOKUP(B74,'1 Setup &amp; Keys'!$K$32:$M$41,3,FALSE()),"")=""),"",IFERROR(COUNTIF(D74:R74,"&gt;="&amp;'1 Setup &amp; Keys'!$B$27)/IFERROR(VLOOKUP(B74,'1 Setup &amp; Keys'!$K$32:$M$41,3,FALSE()),""),""))</f>
        <v/>
      </c>
      <c r="U74" s="20" t="n">
        <f aca="false">IF(A74="",0,IF(COUNTIF($A$5:A74,A74)=1,1,0))</f>
        <v>0</v>
      </c>
    </row>
    <row r="75" customFormat="false" ht="15" hidden="false" customHeight="false" outlineLevel="0" collapsed="false">
      <c r="A75" s="12"/>
      <c r="B75" s="12"/>
      <c r="C75" s="12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9" t="str">
        <f aca="false">IF(OR(C75="",IFERROR(VLOOKUP(B75,'1 Setup &amp; Keys'!$K$32:$M$41,3,FALSE()),"")=""),"",IFERROR(COUNTIF(D75:R75,"&gt;="&amp;'1 Setup &amp; Keys'!$B$27)/IFERROR(VLOOKUP(B75,'1 Setup &amp; Keys'!$K$32:$M$41,3,FALSE()),""),""))</f>
        <v/>
      </c>
      <c r="U75" s="20" t="n">
        <f aca="false">IF(A75="",0,IF(COUNTIF($A$5:A75,A75)=1,1,0))</f>
        <v>0</v>
      </c>
    </row>
    <row r="76" customFormat="false" ht="15" hidden="false" customHeight="false" outlineLevel="0" collapsed="false">
      <c r="A76" s="12"/>
      <c r="B76" s="12"/>
      <c r="C76" s="12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9" t="str">
        <f aca="false">IF(OR(C76="",IFERROR(VLOOKUP(B76,'1 Setup &amp; Keys'!$K$32:$M$41,3,FALSE()),"")=""),"",IFERROR(COUNTIF(D76:R76,"&gt;="&amp;'1 Setup &amp; Keys'!$B$27)/IFERROR(VLOOKUP(B76,'1 Setup &amp; Keys'!$K$32:$M$41,3,FALSE()),""),""))</f>
        <v/>
      </c>
      <c r="U76" s="20" t="n">
        <f aca="false">IF(A76="",0,IF(COUNTIF($A$5:A76,A76)=1,1,0))</f>
        <v>0</v>
      </c>
    </row>
    <row r="77" customFormat="false" ht="15" hidden="false" customHeight="false" outlineLevel="0" collapsed="false">
      <c r="A77" s="12"/>
      <c r="B77" s="12"/>
      <c r="C77" s="12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9" t="str">
        <f aca="false">IF(OR(C77="",IFERROR(VLOOKUP(B77,'1 Setup &amp; Keys'!$K$32:$M$41,3,FALSE()),"")=""),"",IFERROR(COUNTIF(D77:R77,"&gt;="&amp;'1 Setup &amp; Keys'!$B$27)/IFERROR(VLOOKUP(B77,'1 Setup &amp; Keys'!$K$32:$M$41,3,FALSE()),""),""))</f>
        <v/>
      </c>
      <c r="U77" s="20" t="n">
        <f aca="false">IF(A77="",0,IF(COUNTIF($A$5:A77,A77)=1,1,0))</f>
        <v>0</v>
      </c>
    </row>
    <row r="78" customFormat="false" ht="15" hidden="false" customHeight="false" outlineLevel="0" collapsed="false">
      <c r="A78" s="12"/>
      <c r="B78" s="12"/>
      <c r="C78" s="12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9" t="str">
        <f aca="false">IF(OR(C78="",IFERROR(VLOOKUP(B78,'1 Setup &amp; Keys'!$K$32:$M$41,3,FALSE()),"")=""),"",IFERROR(COUNTIF(D78:R78,"&gt;="&amp;'1 Setup &amp; Keys'!$B$27)/IFERROR(VLOOKUP(B78,'1 Setup &amp; Keys'!$K$32:$M$41,3,FALSE()),""),""))</f>
        <v/>
      </c>
      <c r="U78" s="20" t="n">
        <f aca="false">IF(A78="",0,IF(COUNTIF($A$5:A78,A78)=1,1,0))</f>
        <v>0</v>
      </c>
    </row>
    <row r="79" customFormat="false" ht="15" hidden="false" customHeight="false" outlineLevel="0" collapsed="false">
      <c r="A79" s="12"/>
      <c r="B79" s="12"/>
      <c r="C79" s="12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9" t="str">
        <f aca="false">IF(OR(C79="",IFERROR(VLOOKUP(B79,'1 Setup &amp; Keys'!$K$32:$M$41,3,FALSE()),"")=""),"",IFERROR(COUNTIF(D79:R79,"&gt;="&amp;'1 Setup &amp; Keys'!$B$27)/IFERROR(VLOOKUP(B79,'1 Setup &amp; Keys'!$K$32:$M$41,3,FALSE()),""),""))</f>
        <v/>
      </c>
      <c r="U79" s="20" t="n">
        <f aca="false">IF(A79="",0,IF(COUNTIF($A$5:A79,A79)=1,1,0))</f>
        <v>0</v>
      </c>
    </row>
    <row r="80" customFormat="false" ht="15" hidden="false" customHeight="false" outlineLevel="0" collapsed="false">
      <c r="A80" s="12"/>
      <c r="B80" s="12"/>
      <c r="C80" s="12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9" t="str">
        <f aca="false">IF(OR(C80="",IFERROR(VLOOKUP(B80,'1 Setup &amp; Keys'!$K$32:$M$41,3,FALSE()),"")=""),"",IFERROR(COUNTIF(D80:R80,"&gt;="&amp;'1 Setup &amp; Keys'!$B$27)/IFERROR(VLOOKUP(B80,'1 Setup &amp; Keys'!$K$32:$M$41,3,FALSE()),""),""))</f>
        <v/>
      </c>
      <c r="U80" s="20" t="n">
        <f aca="false">IF(A80="",0,IF(COUNTIF($A$5:A80,A80)=1,1,0))</f>
        <v>0</v>
      </c>
    </row>
    <row r="81" customFormat="false" ht="15" hidden="false" customHeight="false" outlineLevel="0" collapsed="false">
      <c r="A81" s="12"/>
      <c r="B81" s="12"/>
      <c r="C81" s="12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9" t="str">
        <f aca="false">IF(OR(C81="",IFERROR(VLOOKUP(B81,'1 Setup &amp; Keys'!$K$32:$M$41,3,FALSE()),"")=""),"",IFERROR(COUNTIF(D81:R81,"&gt;="&amp;'1 Setup &amp; Keys'!$B$27)/IFERROR(VLOOKUP(B81,'1 Setup &amp; Keys'!$K$32:$M$41,3,FALSE()),""),""))</f>
        <v/>
      </c>
      <c r="U81" s="20" t="n">
        <f aca="false">IF(A81="",0,IF(COUNTIF($A$5:A81,A81)=1,1,0))</f>
        <v>0</v>
      </c>
    </row>
    <row r="82" customFormat="false" ht="15" hidden="false" customHeight="false" outlineLevel="0" collapsed="false">
      <c r="A82" s="12"/>
      <c r="B82" s="12"/>
      <c r="C82" s="12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9" t="str">
        <f aca="false">IF(OR(C82="",IFERROR(VLOOKUP(B82,'1 Setup &amp; Keys'!$K$32:$M$41,3,FALSE()),"")=""),"",IFERROR(COUNTIF(D82:R82,"&gt;="&amp;'1 Setup &amp; Keys'!$B$27)/IFERROR(VLOOKUP(B82,'1 Setup &amp; Keys'!$K$32:$M$41,3,FALSE()),""),""))</f>
        <v/>
      </c>
      <c r="U82" s="20" t="n">
        <f aca="false">IF(A82="",0,IF(COUNTIF($A$5:A82,A82)=1,1,0))</f>
        <v>0</v>
      </c>
    </row>
    <row r="83" customFormat="false" ht="15" hidden="false" customHeight="false" outlineLevel="0" collapsed="false">
      <c r="A83" s="12"/>
      <c r="B83" s="12"/>
      <c r="C83" s="12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9" t="str">
        <f aca="false">IF(OR(C83="",IFERROR(VLOOKUP(B83,'1 Setup &amp; Keys'!$K$32:$M$41,3,FALSE()),"")=""),"",IFERROR(COUNTIF(D83:R83,"&gt;="&amp;'1 Setup &amp; Keys'!$B$27)/IFERROR(VLOOKUP(B83,'1 Setup &amp; Keys'!$K$32:$M$41,3,FALSE()),""),""))</f>
        <v/>
      </c>
      <c r="U83" s="20" t="n">
        <f aca="false">IF(A83="",0,IF(COUNTIF($A$5:A83,A83)=1,1,0))</f>
        <v>0</v>
      </c>
    </row>
    <row r="84" customFormat="false" ht="15" hidden="false" customHeight="false" outlineLevel="0" collapsed="false">
      <c r="A84" s="12"/>
      <c r="B84" s="12"/>
      <c r="C84" s="12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9" t="str">
        <f aca="false">IF(OR(C84="",IFERROR(VLOOKUP(B84,'1 Setup &amp; Keys'!$K$32:$M$41,3,FALSE()),"")=""),"",IFERROR(COUNTIF(D84:R84,"&gt;="&amp;'1 Setup &amp; Keys'!$B$27)/IFERROR(VLOOKUP(B84,'1 Setup &amp; Keys'!$K$32:$M$41,3,FALSE()),""),""))</f>
        <v/>
      </c>
      <c r="U84" s="20" t="n">
        <f aca="false">IF(A84="",0,IF(COUNTIF($A$5:A84,A84)=1,1,0))</f>
        <v>0</v>
      </c>
    </row>
    <row r="85" customFormat="false" ht="15" hidden="false" customHeight="false" outlineLevel="0" collapsed="false">
      <c r="A85" s="12"/>
      <c r="B85" s="12"/>
      <c r="C85" s="12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9" t="str">
        <f aca="false">IF(OR(C85="",IFERROR(VLOOKUP(B85,'1 Setup &amp; Keys'!$K$32:$M$41,3,FALSE()),"")=""),"",IFERROR(COUNTIF(D85:R85,"&gt;="&amp;'1 Setup &amp; Keys'!$B$27)/IFERROR(VLOOKUP(B85,'1 Setup &amp; Keys'!$K$32:$M$41,3,FALSE()),""),""))</f>
        <v/>
      </c>
      <c r="U85" s="20" t="n">
        <f aca="false">IF(A85="",0,IF(COUNTIF($A$5:A85,A85)=1,1,0))</f>
        <v>0</v>
      </c>
    </row>
    <row r="86" customFormat="false" ht="15" hidden="false" customHeight="false" outlineLevel="0" collapsed="false">
      <c r="A86" s="12"/>
      <c r="B86" s="12"/>
      <c r="C86" s="12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9" t="str">
        <f aca="false">IF(OR(C86="",IFERROR(VLOOKUP(B86,'1 Setup &amp; Keys'!$K$32:$M$41,3,FALSE()),"")=""),"",IFERROR(COUNTIF(D86:R86,"&gt;="&amp;'1 Setup &amp; Keys'!$B$27)/IFERROR(VLOOKUP(B86,'1 Setup &amp; Keys'!$K$32:$M$41,3,FALSE()),""),""))</f>
        <v/>
      </c>
      <c r="U86" s="20" t="n">
        <f aca="false">IF(A86="",0,IF(COUNTIF($A$5:A86,A86)=1,1,0))</f>
        <v>0</v>
      </c>
    </row>
    <row r="87" customFormat="false" ht="15" hidden="false" customHeight="false" outlineLevel="0" collapsed="false">
      <c r="A87" s="12"/>
      <c r="B87" s="12"/>
      <c r="C87" s="12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9" t="str">
        <f aca="false">IF(OR(C87="",IFERROR(VLOOKUP(B87,'1 Setup &amp; Keys'!$K$32:$M$41,3,FALSE()),"")=""),"",IFERROR(COUNTIF(D87:R87,"&gt;="&amp;'1 Setup &amp; Keys'!$B$27)/IFERROR(VLOOKUP(B87,'1 Setup &amp; Keys'!$K$32:$M$41,3,FALSE()),""),""))</f>
        <v/>
      </c>
      <c r="U87" s="20" t="n">
        <f aca="false">IF(A87="",0,IF(COUNTIF($A$5:A87,A87)=1,1,0))</f>
        <v>0</v>
      </c>
    </row>
    <row r="88" customFormat="false" ht="15" hidden="false" customHeight="false" outlineLevel="0" collapsed="false">
      <c r="A88" s="12"/>
      <c r="B88" s="12"/>
      <c r="C88" s="12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9" t="str">
        <f aca="false">IF(OR(C88="",IFERROR(VLOOKUP(B88,'1 Setup &amp; Keys'!$K$32:$M$41,3,FALSE()),"")=""),"",IFERROR(COUNTIF(D88:R88,"&gt;="&amp;'1 Setup &amp; Keys'!$B$27)/IFERROR(VLOOKUP(B88,'1 Setup &amp; Keys'!$K$32:$M$41,3,FALSE()),""),""))</f>
        <v/>
      </c>
      <c r="U88" s="20" t="n">
        <f aca="false">IF(A88="",0,IF(COUNTIF($A$5:A88,A88)=1,1,0))</f>
        <v>0</v>
      </c>
    </row>
    <row r="89" customFormat="false" ht="15" hidden="false" customHeight="false" outlineLevel="0" collapsed="false">
      <c r="A89" s="12"/>
      <c r="B89" s="12"/>
      <c r="C89" s="12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9" t="str">
        <f aca="false">IF(OR(C89="",IFERROR(VLOOKUP(B89,'1 Setup &amp; Keys'!$K$32:$M$41,3,FALSE()),"")=""),"",IFERROR(COUNTIF(D89:R89,"&gt;="&amp;'1 Setup &amp; Keys'!$B$27)/IFERROR(VLOOKUP(B89,'1 Setup &amp; Keys'!$K$32:$M$41,3,FALSE()),""),""))</f>
        <v/>
      </c>
      <c r="U89" s="20" t="n">
        <f aca="false">IF(A89="",0,IF(COUNTIF($A$5:A89,A89)=1,1,0))</f>
        <v>0</v>
      </c>
    </row>
    <row r="90" customFormat="false" ht="15" hidden="false" customHeight="false" outlineLevel="0" collapsed="false">
      <c r="A90" s="12"/>
      <c r="B90" s="12"/>
      <c r="C90" s="12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9" t="str">
        <f aca="false">IF(OR(C90="",IFERROR(VLOOKUP(B90,'1 Setup &amp; Keys'!$K$32:$M$41,3,FALSE()),"")=""),"",IFERROR(COUNTIF(D90:R90,"&gt;="&amp;'1 Setup &amp; Keys'!$B$27)/IFERROR(VLOOKUP(B90,'1 Setup &amp; Keys'!$K$32:$M$41,3,FALSE()),""),""))</f>
        <v/>
      </c>
      <c r="U90" s="20" t="n">
        <f aca="false">IF(A90="",0,IF(COUNTIF($A$5:A90,A90)=1,1,0))</f>
        <v>0</v>
      </c>
    </row>
    <row r="91" customFormat="false" ht="15" hidden="false" customHeight="false" outlineLevel="0" collapsed="false">
      <c r="A91" s="12"/>
      <c r="B91" s="12"/>
      <c r="C91" s="12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9" t="str">
        <f aca="false">IF(OR(C91="",IFERROR(VLOOKUP(B91,'1 Setup &amp; Keys'!$K$32:$M$41,3,FALSE()),"")=""),"",IFERROR(COUNTIF(D91:R91,"&gt;="&amp;'1 Setup &amp; Keys'!$B$27)/IFERROR(VLOOKUP(B91,'1 Setup &amp; Keys'!$K$32:$M$41,3,FALSE()),""),""))</f>
        <v/>
      </c>
      <c r="U91" s="20" t="n">
        <f aca="false">IF(A91="",0,IF(COUNTIF($A$5:A91,A91)=1,1,0))</f>
        <v>0</v>
      </c>
    </row>
    <row r="92" customFormat="false" ht="15" hidden="false" customHeight="false" outlineLevel="0" collapsed="false">
      <c r="A92" s="12"/>
      <c r="B92" s="12"/>
      <c r="C92" s="12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9" t="str">
        <f aca="false">IF(OR(C92="",IFERROR(VLOOKUP(B92,'1 Setup &amp; Keys'!$K$32:$M$41,3,FALSE()),"")=""),"",IFERROR(COUNTIF(D92:R92,"&gt;="&amp;'1 Setup &amp; Keys'!$B$27)/IFERROR(VLOOKUP(B92,'1 Setup &amp; Keys'!$K$32:$M$41,3,FALSE()),""),""))</f>
        <v/>
      </c>
      <c r="U92" s="20" t="n">
        <f aca="false">IF(A92="",0,IF(COUNTIF($A$5:A92,A92)=1,1,0))</f>
        <v>0</v>
      </c>
    </row>
    <row r="93" customFormat="false" ht="15" hidden="false" customHeight="false" outlineLevel="0" collapsed="false">
      <c r="A93" s="12"/>
      <c r="B93" s="12"/>
      <c r="C93" s="12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9" t="str">
        <f aca="false">IF(OR(C93="",IFERROR(VLOOKUP(B93,'1 Setup &amp; Keys'!$K$32:$M$41,3,FALSE()),"")=""),"",IFERROR(COUNTIF(D93:R93,"&gt;="&amp;'1 Setup &amp; Keys'!$B$27)/IFERROR(VLOOKUP(B93,'1 Setup &amp; Keys'!$K$32:$M$41,3,FALSE()),""),""))</f>
        <v/>
      </c>
      <c r="U93" s="20" t="n">
        <f aca="false">IF(A93="",0,IF(COUNTIF($A$5:A93,A93)=1,1,0))</f>
        <v>0</v>
      </c>
    </row>
    <row r="94" customFormat="false" ht="15" hidden="false" customHeight="false" outlineLevel="0" collapsed="false">
      <c r="A94" s="12"/>
      <c r="B94" s="12"/>
      <c r="C94" s="12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9" t="str">
        <f aca="false">IF(OR(C94="",IFERROR(VLOOKUP(B94,'1 Setup &amp; Keys'!$K$32:$M$41,3,FALSE()),"")=""),"",IFERROR(COUNTIF(D94:R94,"&gt;="&amp;'1 Setup &amp; Keys'!$B$27)/IFERROR(VLOOKUP(B94,'1 Setup &amp; Keys'!$K$32:$M$41,3,FALSE()),""),""))</f>
        <v/>
      </c>
      <c r="U94" s="20" t="n">
        <f aca="false">IF(A94="",0,IF(COUNTIF($A$5:A94,A94)=1,1,0))</f>
        <v>0</v>
      </c>
    </row>
    <row r="95" customFormat="false" ht="15" hidden="false" customHeight="false" outlineLevel="0" collapsed="false">
      <c r="A95" s="12"/>
      <c r="B95" s="12"/>
      <c r="C95" s="12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9" t="str">
        <f aca="false">IF(OR(C95="",IFERROR(VLOOKUP(B95,'1 Setup &amp; Keys'!$K$32:$M$41,3,FALSE()),"")=""),"",IFERROR(COUNTIF(D95:R95,"&gt;="&amp;'1 Setup &amp; Keys'!$B$27)/IFERROR(VLOOKUP(B95,'1 Setup &amp; Keys'!$K$32:$M$41,3,FALSE()),""),""))</f>
        <v/>
      </c>
      <c r="U95" s="20" t="n">
        <f aca="false">IF(A95="",0,IF(COUNTIF($A$5:A95,A95)=1,1,0))</f>
        <v>0</v>
      </c>
    </row>
    <row r="96" customFormat="false" ht="15" hidden="false" customHeight="false" outlineLevel="0" collapsed="false">
      <c r="A96" s="12"/>
      <c r="B96" s="12"/>
      <c r="C96" s="12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9" t="str">
        <f aca="false">IF(OR(C96="",IFERROR(VLOOKUP(B96,'1 Setup &amp; Keys'!$K$32:$M$41,3,FALSE()),"")=""),"",IFERROR(COUNTIF(D96:R96,"&gt;="&amp;'1 Setup &amp; Keys'!$B$27)/IFERROR(VLOOKUP(B96,'1 Setup &amp; Keys'!$K$32:$M$41,3,FALSE()),""),""))</f>
        <v/>
      </c>
      <c r="U96" s="20" t="n">
        <f aca="false">IF(A96="",0,IF(COUNTIF($A$5:A96,A96)=1,1,0))</f>
        <v>0</v>
      </c>
    </row>
    <row r="97" customFormat="false" ht="15" hidden="false" customHeight="false" outlineLevel="0" collapsed="false">
      <c r="A97" s="12"/>
      <c r="B97" s="12"/>
      <c r="C97" s="12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9" t="str">
        <f aca="false">IF(OR(C97="",IFERROR(VLOOKUP(B97,'1 Setup &amp; Keys'!$K$32:$M$41,3,FALSE()),"")=""),"",IFERROR(COUNTIF(D97:R97,"&gt;="&amp;'1 Setup &amp; Keys'!$B$27)/IFERROR(VLOOKUP(B97,'1 Setup &amp; Keys'!$K$32:$M$41,3,FALSE()),""),""))</f>
        <v/>
      </c>
      <c r="U97" s="20" t="n">
        <f aca="false">IF(A97="",0,IF(COUNTIF($A$5:A97,A97)=1,1,0))</f>
        <v>0</v>
      </c>
    </row>
    <row r="98" customFormat="false" ht="15" hidden="false" customHeight="false" outlineLevel="0" collapsed="false">
      <c r="A98" s="12"/>
      <c r="B98" s="12"/>
      <c r="C98" s="12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9" t="str">
        <f aca="false">IF(OR(C98="",IFERROR(VLOOKUP(B98,'1 Setup &amp; Keys'!$K$32:$M$41,3,FALSE()),"")=""),"",IFERROR(COUNTIF(D98:R98,"&gt;="&amp;'1 Setup &amp; Keys'!$B$27)/IFERROR(VLOOKUP(B98,'1 Setup &amp; Keys'!$K$32:$M$41,3,FALSE()),""),""))</f>
        <v/>
      </c>
      <c r="U98" s="20" t="n">
        <f aca="false">IF(A98="",0,IF(COUNTIF($A$5:A98,A98)=1,1,0))</f>
        <v>0</v>
      </c>
    </row>
    <row r="99" customFormat="false" ht="15" hidden="false" customHeight="false" outlineLevel="0" collapsed="false">
      <c r="A99" s="12"/>
      <c r="B99" s="12"/>
      <c r="C99" s="12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9" t="str">
        <f aca="false">IF(OR(C99="",IFERROR(VLOOKUP(B99,'1 Setup &amp; Keys'!$K$32:$M$41,3,FALSE()),"")=""),"",IFERROR(COUNTIF(D99:R99,"&gt;="&amp;'1 Setup &amp; Keys'!$B$27)/IFERROR(VLOOKUP(B99,'1 Setup &amp; Keys'!$K$32:$M$41,3,FALSE()),""),""))</f>
        <v/>
      </c>
      <c r="U99" s="20" t="n">
        <f aca="false">IF(A99="",0,IF(COUNTIF($A$5:A99,A99)=1,1,0))</f>
        <v>0</v>
      </c>
    </row>
    <row r="100" customFormat="false" ht="15" hidden="false" customHeight="false" outlineLevel="0" collapsed="false">
      <c r="A100" s="12"/>
      <c r="B100" s="12"/>
      <c r="C100" s="12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9" t="str">
        <f aca="false">IF(OR(C100="",IFERROR(VLOOKUP(B100,'1 Setup &amp; Keys'!$K$32:$M$41,3,FALSE()),"")=""),"",IFERROR(COUNTIF(D100:R100,"&gt;="&amp;'1 Setup &amp; Keys'!$B$27)/IFERROR(VLOOKUP(B100,'1 Setup &amp; Keys'!$K$32:$M$41,3,FALSE()),""),""))</f>
        <v/>
      </c>
      <c r="U100" s="20" t="n">
        <f aca="false">IF(A100="",0,IF(COUNTIF($A$5:A100,A100)=1,1,0))</f>
        <v>0</v>
      </c>
    </row>
    <row r="101" customFormat="false" ht="15" hidden="false" customHeight="false" outlineLevel="0" collapsed="false">
      <c r="A101" s="12"/>
      <c r="B101" s="12"/>
      <c r="C101" s="12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9" t="str">
        <f aca="false">IF(OR(C101="",IFERROR(VLOOKUP(B101,'1 Setup &amp; Keys'!$K$32:$M$41,3,FALSE()),"")=""),"",IFERROR(COUNTIF(D101:R101,"&gt;="&amp;'1 Setup &amp; Keys'!$B$27)/IFERROR(VLOOKUP(B101,'1 Setup &amp; Keys'!$K$32:$M$41,3,FALSE()),""),""))</f>
        <v/>
      </c>
      <c r="U101" s="20" t="n">
        <f aca="false">IF(A101="",0,IF(COUNTIF($A$5:A101,A101)=1,1,0))</f>
        <v>0</v>
      </c>
    </row>
    <row r="102" customFormat="false" ht="15" hidden="false" customHeight="false" outlineLevel="0" collapsed="false">
      <c r="A102" s="12"/>
      <c r="B102" s="12"/>
      <c r="C102" s="12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9" t="str">
        <f aca="false">IF(OR(C102="",IFERROR(VLOOKUP(B102,'1 Setup &amp; Keys'!$K$32:$M$41,3,FALSE()),"")=""),"",IFERROR(COUNTIF(D102:R102,"&gt;="&amp;'1 Setup &amp; Keys'!$B$27)/IFERROR(VLOOKUP(B102,'1 Setup &amp; Keys'!$K$32:$M$41,3,FALSE()),""),""))</f>
        <v/>
      </c>
      <c r="U102" s="20" t="n">
        <f aca="false">IF(A102="",0,IF(COUNTIF($A$5:A102,A102)=1,1,0))</f>
        <v>0</v>
      </c>
    </row>
    <row r="103" customFormat="false" ht="15" hidden="false" customHeight="false" outlineLevel="0" collapsed="false">
      <c r="A103" s="12"/>
      <c r="B103" s="12"/>
      <c r="C103" s="12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9" t="str">
        <f aca="false">IF(OR(C103="",IFERROR(VLOOKUP(B103,'1 Setup &amp; Keys'!$K$32:$M$41,3,FALSE()),"")=""),"",IFERROR(COUNTIF(D103:R103,"&gt;="&amp;'1 Setup &amp; Keys'!$B$27)/IFERROR(VLOOKUP(B103,'1 Setup &amp; Keys'!$K$32:$M$41,3,FALSE()),""),""))</f>
        <v/>
      </c>
      <c r="U103" s="20" t="n">
        <f aca="false">IF(A103="",0,IF(COUNTIF($A$5:A103,A103)=1,1,0))</f>
        <v>0</v>
      </c>
    </row>
    <row r="104" customFormat="false" ht="15" hidden="false" customHeight="false" outlineLevel="0" collapsed="false">
      <c r="A104" s="12"/>
      <c r="B104" s="12"/>
      <c r="C104" s="12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9" t="str">
        <f aca="false">IF(OR(C104="",IFERROR(VLOOKUP(B104,'1 Setup &amp; Keys'!$K$32:$M$41,3,FALSE()),"")=""),"",IFERROR(COUNTIF(D104:R104,"&gt;="&amp;'1 Setup &amp; Keys'!$B$27)/IFERROR(VLOOKUP(B104,'1 Setup &amp; Keys'!$K$32:$M$41,3,FALSE()),""),""))</f>
        <v/>
      </c>
      <c r="U104" s="20" t="n">
        <f aca="false">IF(A104="",0,IF(COUNTIF($A$5:A104,A104)=1,1,0))</f>
        <v>0</v>
      </c>
    </row>
    <row r="105" customFormat="false" ht="15" hidden="false" customHeight="false" outlineLevel="0" collapsed="false">
      <c r="A105" s="12"/>
      <c r="B105" s="12"/>
      <c r="C105" s="12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9" t="str">
        <f aca="false">IF(OR(C105="",IFERROR(VLOOKUP(B105,'1 Setup &amp; Keys'!$K$32:$M$41,3,FALSE()),"")=""),"",IFERROR(COUNTIF(D105:R105,"&gt;="&amp;'1 Setup &amp; Keys'!$B$27)/IFERROR(VLOOKUP(B105,'1 Setup &amp; Keys'!$K$32:$M$41,3,FALSE()),""),""))</f>
        <v/>
      </c>
      <c r="U105" s="20" t="n">
        <f aca="false">IF(A105="",0,IF(COUNTIF($A$5:A105,A105)=1,1,0))</f>
        <v>0</v>
      </c>
    </row>
    <row r="106" customFormat="false" ht="15" hidden="false" customHeight="false" outlineLevel="0" collapsed="false">
      <c r="A106" s="12"/>
      <c r="B106" s="12"/>
      <c r="C106" s="12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9" t="str">
        <f aca="false">IF(OR(C106="",IFERROR(VLOOKUP(B106,'1 Setup &amp; Keys'!$K$32:$M$41,3,FALSE()),"")=""),"",IFERROR(COUNTIF(D106:R106,"&gt;="&amp;'1 Setup &amp; Keys'!$B$27)/IFERROR(VLOOKUP(B106,'1 Setup &amp; Keys'!$K$32:$M$41,3,FALSE()),""),""))</f>
        <v/>
      </c>
      <c r="U106" s="20" t="n">
        <f aca="false">IF(A106="",0,IF(COUNTIF($A$5:A106,A106)=1,1,0))</f>
        <v>0</v>
      </c>
    </row>
    <row r="107" customFormat="false" ht="15" hidden="false" customHeight="false" outlineLevel="0" collapsed="false">
      <c r="A107" s="12"/>
      <c r="B107" s="12"/>
      <c r="C107" s="12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9" t="str">
        <f aca="false">IF(OR(C107="",IFERROR(VLOOKUP(B107,'1 Setup &amp; Keys'!$K$32:$M$41,3,FALSE()),"")=""),"",IFERROR(COUNTIF(D107:R107,"&gt;="&amp;'1 Setup &amp; Keys'!$B$27)/IFERROR(VLOOKUP(B107,'1 Setup &amp; Keys'!$K$32:$M$41,3,FALSE()),""),""))</f>
        <v/>
      </c>
      <c r="U107" s="20" t="n">
        <f aca="false">IF(A107="",0,IF(COUNTIF($A$5:A107,A107)=1,1,0))</f>
        <v>0</v>
      </c>
    </row>
    <row r="108" customFormat="false" ht="15" hidden="false" customHeight="false" outlineLevel="0" collapsed="false">
      <c r="A108" s="12"/>
      <c r="B108" s="12"/>
      <c r="C108" s="12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9" t="str">
        <f aca="false">IF(OR(C108="",IFERROR(VLOOKUP(B108,'1 Setup &amp; Keys'!$K$32:$M$41,3,FALSE()),"")=""),"",IFERROR(COUNTIF(D108:R108,"&gt;="&amp;'1 Setup &amp; Keys'!$B$27)/IFERROR(VLOOKUP(B108,'1 Setup &amp; Keys'!$K$32:$M$41,3,FALSE()),""),""))</f>
        <v/>
      </c>
      <c r="U108" s="20" t="n">
        <f aca="false">IF(A108="",0,IF(COUNTIF($A$5:A108,A108)=1,1,0))</f>
        <v>0</v>
      </c>
    </row>
    <row r="109" customFormat="false" ht="15" hidden="false" customHeight="false" outlineLevel="0" collapsed="false">
      <c r="A109" s="12"/>
      <c r="B109" s="12"/>
      <c r="C109" s="12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9" t="str">
        <f aca="false">IF(OR(C109="",IFERROR(VLOOKUP(B109,'1 Setup &amp; Keys'!$K$32:$M$41,3,FALSE()),"")=""),"",IFERROR(COUNTIF(D109:R109,"&gt;="&amp;'1 Setup &amp; Keys'!$B$27)/IFERROR(VLOOKUP(B109,'1 Setup &amp; Keys'!$K$32:$M$41,3,FALSE()),""),""))</f>
        <v/>
      </c>
      <c r="U109" s="20" t="n">
        <f aca="false">IF(A109="",0,IF(COUNTIF($A$5:A109,A109)=1,1,0))</f>
        <v>0</v>
      </c>
    </row>
    <row r="110" customFormat="false" ht="15" hidden="false" customHeight="false" outlineLevel="0" collapsed="false">
      <c r="A110" s="12"/>
      <c r="B110" s="12"/>
      <c r="C110" s="12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9" t="str">
        <f aca="false">IF(OR(C110="",IFERROR(VLOOKUP(B110,'1 Setup &amp; Keys'!$K$32:$M$41,3,FALSE()),"")=""),"",IFERROR(COUNTIF(D110:R110,"&gt;="&amp;'1 Setup &amp; Keys'!$B$27)/IFERROR(VLOOKUP(B110,'1 Setup &amp; Keys'!$K$32:$M$41,3,FALSE()),""),""))</f>
        <v/>
      </c>
      <c r="U110" s="20" t="n">
        <f aca="false">IF(A110="",0,IF(COUNTIF($A$5:A110,A110)=1,1,0))</f>
        <v>0</v>
      </c>
    </row>
    <row r="111" customFormat="false" ht="15" hidden="false" customHeight="false" outlineLevel="0" collapsed="false">
      <c r="A111" s="12"/>
      <c r="B111" s="12"/>
      <c r="C111" s="12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9" t="str">
        <f aca="false">IF(OR(C111="",IFERROR(VLOOKUP(B111,'1 Setup &amp; Keys'!$K$32:$M$41,3,FALSE()),"")=""),"",IFERROR(COUNTIF(D111:R111,"&gt;="&amp;'1 Setup &amp; Keys'!$B$27)/IFERROR(VLOOKUP(B111,'1 Setup &amp; Keys'!$K$32:$M$41,3,FALSE()),""),""))</f>
        <v/>
      </c>
      <c r="U111" s="20" t="n">
        <f aca="false">IF(A111="",0,IF(COUNTIF($A$5:A111,A111)=1,1,0))</f>
        <v>0</v>
      </c>
    </row>
    <row r="112" customFormat="false" ht="15" hidden="false" customHeight="false" outlineLevel="0" collapsed="false">
      <c r="A112" s="12"/>
      <c r="B112" s="12"/>
      <c r="C112" s="12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9" t="str">
        <f aca="false">IF(OR(C112="",IFERROR(VLOOKUP(B112,'1 Setup &amp; Keys'!$K$32:$M$41,3,FALSE()),"")=""),"",IFERROR(COUNTIF(D112:R112,"&gt;="&amp;'1 Setup &amp; Keys'!$B$27)/IFERROR(VLOOKUP(B112,'1 Setup &amp; Keys'!$K$32:$M$41,3,FALSE()),""),""))</f>
        <v/>
      </c>
      <c r="U112" s="20" t="n">
        <f aca="false">IF(A112="",0,IF(COUNTIF($A$5:A112,A112)=1,1,0))</f>
        <v>0</v>
      </c>
    </row>
    <row r="113" customFormat="false" ht="15" hidden="false" customHeight="false" outlineLevel="0" collapsed="false">
      <c r="A113" s="12"/>
      <c r="B113" s="12"/>
      <c r="C113" s="12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9" t="str">
        <f aca="false">IF(OR(C113="",IFERROR(VLOOKUP(B113,'1 Setup &amp; Keys'!$K$32:$M$41,3,FALSE()),"")=""),"",IFERROR(COUNTIF(D113:R113,"&gt;="&amp;'1 Setup &amp; Keys'!$B$27)/IFERROR(VLOOKUP(B113,'1 Setup &amp; Keys'!$K$32:$M$41,3,FALSE()),""),""))</f>
        <v/>
      </c>
      <c r="U113" s="20" t="n">
        <f aca="false">IF(A113="",0,IF(COUNTIF($A$5:A113,A113)=1,1,0))</f>
        <v>0</v>
      </c>
    </row>
    <row r="114" customFormat="false" ht="15" hidden="false" customHeight="false" outlineLevel="0" collapsed="false">
      <c r="A114" s="12"/>
      <c r="B114" s="12"/>
      <c r="C114" s="12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9" t="str">
        <f aca="false">IF(OR(C114="",IFERROR(VLOOKUP(B114,'1 Setup &amp; Keys'!$K$32:$M$41,3,FALSE()),"")=""),"",IFERROR(COUNTIF(D114:R114,"&gt;="&amp;'1 Setup &amp; Keys'!$B$27)/IFERROR(VLOOKUP(B114,'1 Setup &amp; Keys'!$K$32:$M$41,3,FALSE()),""),""))</f>
        <v/>
      </c>
      <c r="U114" s="20" t="n">
        <f aca="false">IF(A114="",0,IF(COUNTIF($A$5:A114,A114)=1,1,0))</f>
        <v>0</v>
      </c>
    </row>
    <row r="115" customFormat="false" ht="15" hidden="false" customHeight="false" outlineLevel="0" collapsed="false">
      <c r="A115" s="12"/>
      <c r="B115" s="12"/>
      <c r="C115" s="12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9" t="str">
        <f aca="false">IF(OR(C115="",IFERROR(VLOOKUP(B115,'1 Setup &amp; Keys'!$K$32:$M$41,3,FALSE()),"")=""),"",IFERROR(COUNTIF(D115:R115,"&gt;="&amp;'1 Setup &amp; Keys'!$B$27)/IFERROR(VLOOKUP(B115,'1 Setup &amp; Keys'!$K$32:$M$41,3,FALSE()),""),""))</f>
        <v/>
      </c>
      <c r="U115" s="20" t="n">
        <f aca="false">IF(A115="",0,IF(COUNTIF($A$5:A115,A115)=1,1,0))</f>
        <v>0</v>
      </c>
    </row>
    <row r="116" customFormat="false" ht="15" hidden="false" customHeight="false" outlineLevel="0" collapsed="false">
      <c r="A116" s="12"/>
      <c r="B116" s="12"/>
      <c r="C116" s="12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9" t="str">
        <f aca="false">IF(OR(C116="",IFERROR(VLOOKUP(B116,'1 Setup &amp; Keys'!$K$32:$M$41,3,FALSE()),"")=""),"",IFERROR(COUNTIF(D116:R116,"&gt;="&amp;'1 Setup &amp; Keys'!$B$27)/IFERROR(VLOOKUP(B116,'1 Setup &amp; Keys'!$K$32:$M$41,3,FALSE()),""),""))</f>
        <v/>
      </c>
      <c r="U116" s="20" t="n">
        <f aca="false">IF(A116="",0,IF(COUNTIF($A$5:A116,A116)=1,1,0))</f>
        <v>0</v>
      </c>
    </row>
    <row r="117" customFormat="false" ht="15" hidden="false" customHeight="false" outlineLevel="0" collapsed="false">
      <c r="A117" s="12"/>
      <c r="B117" s="12"/>
      <c r="C117" s="12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9" t="str">
        <f aca="false">IF(OR(C117="",IFERROR(VLOOKUP(B117,'1 Setup &amp; Keys'!$K$32:$M$41,3,FALSE()),"")=""),"",IFERROR(COUNTIF(D117:R117,"&gt;="&amp;'1 Setup &amp; Keys'!$B$27)/IFERROR(VLOOKUP(B117,'1 Setup &amp; Keys'!$K$32:$M$41,3,FALSE()),""),""))</f>
        <v/>
      </c>
      <c r="U117" s="20" t="n">
        <f aca="false">IF(A117="",0,IF(COUNTIF($A$5:A117,A117)=1,1,0))</f>
        <v>0</v>
      </c>
    </row>
    <row r="118" customFormat="false" ht="15" hidden="false" customHeight="false" outlineLevel="0" collapsed="false">
      <c r="A118" s="12"/>
      <c r="B118" s="12"/>
      <c r="C118" s="12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9" t="str">
        <f aca="false">IF(OR(C118="",IFERROR(VLOOKUP(B118,'1 Setup &amp; Keys'!$K$32:$M$41,3,FALSE()),"")=""),"",IFERROR(COUNTIF(D118:R118,"&gt;="&amp;'1 Setup &amp; Keys'!$B$27)/IFERROR(VLOOKUP(B118,'1 Setup &amp; Keys'!$K$32:$M$41,3,FALSE()),""),""))</f>
        <v/>
      </c>
      <c r="U118" s="20" t="n">
        <f aca="false">IF(A118="",0,IF(COUNTIF($A$5:A118,A118)=1,1,0))</f>
        <v>0</v>
      </c>
    </row>
    <row r="119" customFormat="false" ht="15" hidden="false" customHeight="false" outlineLevel="0" collapsed="false">
      <c r="A119" s="12"/>
      <c r="B119" s="12"/>
      <c r="C119" s="12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9" t="str">
        <f aca="false">IF(OR(C119="",IFERROR(VLOOKUP(B119,'1 Setup &amp; Keys'!$K$32:$M$41,3,FALSE()),"")=""),"",IFERROR(COUNTIF(D119:R119,"&gt;="&amp;'1 Setup &amp; Keys'!$B$27)/IFERROR(VLOOKUP(B119,'1 Setup &amp; Keys'!$K$32:$M$41,3,FALSE()),""),""))</f>
        <v/>
      </c>
      <c r="U119" s="20" t="n">
        <f aca="false">IF(A119="",0,IF(COUNTIF($A$5:A119,A119)=1,1,0))</f>
        <v>0</v>
      </c>
    </row>
    <row r="120" customFormat="false" ht="15" hidden="false" customHeight="false" outlineLevel="0" collapsed="false">
      <c r="A120" s="12"/>
      <c r="B120" s="12"/>
      <c r="C120" s="12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9" t="str">
        <f aca="false">IF(OR(C120="",IFERROR(VLOOKUP(B120,'1 Setup &amp; Keys'!$K$32:$M$41,3,FALSE()),"")=""),"",IFERROR(COUNTIF(D120:R120,"&gt;="&amp;'1 Setup &amp; Keys'!$B$27)/IFERROR(VLOOKUP(B120,'1 Setup &amp; Keys'!$K$32:$M$41,3,FALSE()),""),""))</f>
        <v/>
      </c>
      <c r="U120" s="20" t="n">
        <f aca="false">IF(A120="",0,IF(COUNTIF($A$5:A120,A120)=1,1,0))</f>
        <v>0</v>
      </c>
    </row>
    <row r="121" customFormat="false" ht="15" hidden="false" customHeight="false" outlineLevel="0" collapsed="false">
      <c r="A121" s="12"/>
      <c r="B121" s="12"/>
      <c r="C121" s="12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9" t="str">
        <f aca="false">IF(OR(C121="",IFERROR(VLOOKUP(B121,'1 Setup &amp; Keys'!$K$32:$M$41,3,FALSE()),"")=""),"",IFERROR(COUNTIF(D121:R121,"&gt;="&amp;'1 Setup &amp; Keys'!$B$27)/IFERROR(VLOOKUP(B121,'1 Setup &amp; Keys'!$K$32:$M$41,3,FALSE()),""),""))</f>
        <v/>
      </c>
      <c r="U121" s="20" t="n">
        <f aca="false">IF(A121="",0,IF(COUNTIF($A$5:A121,A121)=1,1,0))</f>
        <v>0</v>
      </c>
    </row>
    <row r="122" customFormat="false" ht="15" hidden="false" customHeight="false" outlineLevel="0" collapsed="false">
      <c r="A122" s="12"/>
      <c r="B122" s="12"/>
      <c r="C122" s="12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9" t="str">
        <f aca="false">IF(OR(C122="",IFERROR(VLOOKUP(B122,'1 Setup &amp; Keys'!$K$32:$M$41,3,FALSE()),"")=""),"",IFERROR(COUNTIF(D122:R122,"&gt;="&amp;'1 Setup &amp; Keys'!$B$27)/IFERROR(VLOOKUP(B122,'1 Setup &amp; Keys'!$K$32:$M$41,3,FALSE()),""),""))</f>
        <v/>
      </c>
      <c r="U122" s="20" t="n">
        <f aca="false">IF(A122="",0,IF(COUNTIF($A$5:A122,A122)=1,1,0))</f>
        <v>0</v>
      </c>
    </row>
    <row r="123" customFormat="false" ht="15" hidden="false" customHeight="false" outlineLevel="0" collapsed="false">
      <c r="A123" s="12"/>
      <c r="B123" s="12"/>
      <c r="C123" s="12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9" t="str">
        <f aca="false">IF(OR(C123="",IFERROR(VLOOKUP(B123,'1 Setup &amp; Keys'!$K$32:$M$41,3,FALSE()),"")=""),"",IFERROR(COUNTIF(D123:R123,"&gt;="&amp;'1 Setup &amp; Keys'!$B$27)/IFERROR(VLOOKUP(B123,'1 Setup &amp; Keys'!$K$32:$M$41,3,FALSE()),""),""))</f>
        <v/>
      </c>
      <c r="U123" s="20" t="n">
        <f aca="false">IF(A123="",0,IF(COUNTIF($A$5:A123,A123)=1,1,0))</f>
        <v>0</v>
      </c>
    </row>
    <row r="124" customFormat="false" ht="15" hidden="false" customHeight="false" outlineLevel="0" collapsed="false">
      <c r="A124" s="12"/>
      <c r="B124" s="12"/>
      <c r="C124" s="12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9" t="str">
        <f aca="false">IF(OR(C124="",IFERROR(VLOOKUP(B124,'1 Setup &amp; Keys'!$K$32:$M$41,3,FALSE()),"")=""),"",IFERROR(COUNTIF(D124:R124,"&gt;="&amp;'1 Setup &amp; Keys'!$B$27)/IFERROR(VLOOKUP(B124,'1 Setup &amp; Keys'!$K$32:$M$41,3,FALSE()),""),""))</f>
        <v/>
      </c>
      <c r="U124" s="20" t="n">
        <f aca="false">IF(A124="",0,IF(COUNTIF($A$5:A124,A124)=1,1,0))</f>
        <v>0</v>
      </c>
    </row>
    <row r="125" customFormat="false" ht="15" hidden="false" customHeight="false" outlineLevel="0" collapsed="false">
      <c r="A125" s="12"/>
      <c r="B125" s="12"/>
      <c r="C125" s="12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9" t="str">
        <f aca="false">IF(OR(C125="",IFERROR(VLOOKUP(B125,'1 Setup &amp; Keys'!$K$32:$M$41,3,FALSE()),"")=""),"",IFERROR(COUNTIF(D125:R125,"&gt;="&amp;'1 Setup &amp; Keys'!$B$27)/IFERROR(VLOOKUP(B125,'1 Setup &amp; Keys'!$K$32:$M$41,3,FALSE()),""),""))</f>
        <v/>
      </c>
      <c r="U125" s="20" t="n">
        <f aca="false">IF(A125="",0,IF(COUNTIF($A$5:A125,A125)=1,1,0))</f>
        <v>0</v>
      </c>
    </row>
    <row r="126" customFormat="false" ht="15" hidden="false" customHeight="false" outlineLevel="0" collapsed="false">
      <c r="A126" s="12"/>
      <c r="B126" s="12"/>
      <c r="C126" s="12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9" t="str">
        <f aca="false">IF(OR(C126="",IFERROR(VLOOKUP(B126,'1 Setup &amp; Keys'!$K$32:$M$41,3,FALSE()),"")=""),"",IFERROR(COUNTIF(D126:R126,"&gt;="&amp;'1 Setup &amp; Keys'!$B$27)/IFERROR(VLOOKUP(B126,'1 Setup &amp; Keys'!$K$32:$M$41,3,FALSE()),""),""))</f>
        <v/>
      </c>
      <c r="U126" s="20" t="n">
        <f aca="false">IF(A126="",0,IF(COUNTIF($A$5:A126,A126)=1,1,0))</f>
        <v>0</v>
      </c>
    </row>
    <row r="127" customFormat="false" ht="15" hidden="false" customHeight="false" outlineLevel="0" collapsed="false">
      <c r="A127" s="12"/>
      <c r="B127" s="12"/>
      <c r="C127" s="12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9" t="str">
        <f aca="false">IF(OR(C127="",IFERROR(VLOOKUP(B127,'1 Setup &amp; Keys'!$K$32:$M$41,3,FALSE()),"")=""),"",IFERROR(COUNTIF(D127:R127,"&gt;="&amp;'1 Setup &amp; Keys'!$B$27)/IFERROR(VLOOKUP(B127,'1 Setup &amp; Keys'!$K$32:$M$41,3,FALSE()),""),""))</f>
        <v/>
      </c>
      <c r="U127" s="20" t="n">
        <f aca="false">IF(A127="",0,IF(COUNTIF($A$5:A127,A127)=1,1,0))</f>
        <v>0</v>
      </c>
    </row>
    <row r="128" customFormat="false" ht="15" hidden="false" customHeight="false" outlineLevel="0" collapsed="false">
      <c r="A128" s="12"/>
      <c r="B128" s="12"/>
      <c r="C128" s="12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9" t="str">
        <f aca="false">IF(OR(C128="",IFERROR(VLOOKUP(B128,'1 Setup &amp; Keys'!$K$32:$M$41,3,FALSE()),"")=""),"",IFERROR(COUNTIF(D128:R128,"&gt;="&amp;'1 Setup &amp; Keys'!$B$27)/IFERROR(VLOOKUP(B128,'1 Setup &amp; Keys'!$K$32:$M$41,3,FALSE()),""),""))</f>
        <v/>
      </c>
      <c r="U128" s="20" t="n">
        <f aca="false">IF(A128="",0,IF(COUNTIF($A$5:A128,A128)=1,1,0))</f>
        <v>0</v>
      </c>
    </row>
    <row r="129" customFormat="false" ht="15" hidden="false" customHeight="false" outlineLevel="0" collapsed="false">
      <c r="A129" s="12"/>
      <c r="B129" s="12"/>
      <c r="C129" s="12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9" t="str">
        <f aca="false">IF(OR(C129="",IFERROR(VLOOKUP(B129,'1 Setup &amp; Keys'!$K$32:$M$41,3,FALSE()),"")=""),"",IFERROR(COUNTIF(D129:R129,"&gt;="&amp;'1 Setup &amp; Keys'!$B$27)/IFERROR(VLOOKUP(B129,'1 Setup &amp; Keys'!$K$32:$M$41,3,FALSE()),""),""))</f>
        <v/>
      </c>
      <c r="U129" s="20" t="n">
        <f aca="false">IF(A129="",0,IF(COUNTIF($A$5:A129,A129)=1,1,0))</f>
        <v>0</v>
      </c>
    </row>
    <row r="130" customFormat="false" ht="15" hidden="false" customHeight="false" outlineLevel="0" collapsed="false">
      <c r="A130" s="12"/>
      <c r="B130" s="12"/>
      <c r="C130" s="12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9" t="str">
        <f aca="false">IF(OR(C130="",IFERROR(VLOOKUP(B130,'1 Setup &amp; Keys'!$K$32:$M$41,3,FALSE()),"")=""),"",IFERROR(COUNTIF(D130:R130,"&gt;="&amp;'1 Setup &amp; Keys'!$B$27)/IFERROR(VLOOKUP(B130,'1 Setup &amp; Keys'!$K$32:$M$41,3,FALSE()),""),""))</f>
        <v/>
      </c>
      <c r="U130" s="20" t="n">
        <f aca="false">IF(A130="",0,IF(COUNTIF($A$5:A130,A130)=1,1,0))</f>
        <v>0</v>
      </c>
    </row>
    <row r="131" customFormat="false" ht="15" hidden="false" customHeight="false" outlineLevel="0" collapsed="false">
      <c r="A131" s="12"/>
      <c r="B131" s="12"/>
      <c r="C131" s="12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9" t="str">
        <f aca="false">IF(OR(C131="",IFERROR(VLOOKUP(B131,'1 Setup &amp; Keys'!$K$32:$M$41,3,FALSE()),"")=""),"",IFERROR(COUNTIF(D131:R131,"&gt;="&amp;'1 Setup &amp; Keys'!$B$27)/IFERROR(VLOOKUP(B131,'1 Setup &amp; Keys'!$K$32:$M$41,3,FALSE()),""),""))</f>
        <v/>
      </c>
      <c r="U131" s="20" t="n">
        <f aca="false">IF(A131="",0,IF(COUNTIF($A$5:A131,A131)=1,1,0))</f>
        <v>0</v>
      </c>
    </row>
    <row r="132" customFormat="false" ht="15" hidden="false" customHeight="false" outlineLevel="0" collapsed="false">
      <c r="A132" s="12"/>
      <c r="B132" s="12"/>
      <c r="C132" s="12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9" t="str">
        <f aca="false">IF(OR(C132="",IFERROR(VLOOKUP(B132,'1 Setup &amp; Keys'!$K$32:$M$41,3,FALSE()),"")=""),"",IFERROR(COUNTIF(D132:R132,"&gt;="&amp;'1 Setup &amp; Keys'!$B$27)/IFERROR(VLOOKUP(B132,'1 Setup &amp; Keys'!$K$32:$M$41,3,FALSE()),""),""))</f>
        <v/>
      </c>
      <c r="U132" s="20" t="n">
        <f aca="false">IF(A132="",0,IF(COUNTIF($A$5:A132,A132)=1,1,0))</f>
        <v>0</v>
      </c>
    </row>
    <row r="133" customFormat="false" ht="15" hidden="false" customHeight="false" outlineLevel="0" collapsed="false">
      <c r="A133" s="12"/>
      <c r="B133" s="12"/>
      <c r="C133" s="12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9" t="str">
        <f aca="false">IF(OR(C133="",IFERROR(VLOOKUP(B133,'1 Setup &amp; Keys'!$K$32:$M$41,3,FALSE()),"")=""),"",IFERROR(COUNTIF(D133:R133,"&gt;="&amp;'1 Setup &amp; Keys'!$B$27)/IFERROR(VLOOKUP(B133,'1 Setup &amp; Keys'!$K$32:$M$41,3,FALSE()),""),""))</f>
        <v/>
      </c>
      <c r="U133" s="20" t="n">
        <f aca="false">IF(A133="",0,IF(COUNTIF($A$5:A133,A133)=1,1,0))</f>
        <v>0</v>
      </c>
    </row>
    <row r="134" customFormat="false" ht="15" hidden="false" customHeight="false" outlineLevel="0" collapsed="false">
      <c r="A134" s="12"/>
      <c r="B134" s="12"/>
      <c r="C134" s="12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9" t="str">
        <f aca="false">IF(OR(C134="",IFERROR(VLOOKUP(B134,'1 Setup &amp; Keys'!$K$32:$M$41,3,FALSE()),"")=""),"",IFERROR(COUNTIF(D134:R134,"&gt;="&amp;'1 Setup &amp; Keys'!$B$27)/IFERROR(VLOOKUP(B134,'1 Setup &amp; Keys'!$K$32:$M$41,3,FALSE()),""),""))</f>
        <v/>
      </c>
      <c r="U134" s="20" t="n">
        <f aca="false">IF(A134="",0,IF(COUNTIF($A$5:A134,A134)=1,1,0))</f>
        <v>0</v>
      </c>
    </row>
    <row r="135" customFormat="false" ht="15" hidden="false" customHeight="false" outlineLevel="0" collapsed="false">
      <c r="A135" s="12"/>
      <c r="B135" s="12"/>
      <c r="C135" s="12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9" t="str">
        <f aca="false">IF(OR(C135="",IFERROR(VLOOKUP(B135,'1 Setup &amp; Keys'!$K$32:$M$41,3,FALSE()),"")=""),"",IFERROR(COUNTIF(D135:R135,"&gt;="&amp;'1 Setup &amp; Keys'!$B$27)/IFERROR(VLOOKUP(B135,'1 Setup &amp; Keys'!$K$32:$M$41,3,FALSE()),""),""))</f>
        <v/>
      </c>
      <c r="U135" s="20" t="n">
        <f aca="false">IF(A135="",0,IF(COUNTIF($A$5:A135,A135)=1,1,0))</f>
        <v>0</v>
      </c>
    </row>
    <row r="136" customFormat="false" ht="15" hidden="false" customHeight="false" outlineLevel="0" collapsed="false">
      <c r="A136" s="12"/>
      <c r="B136" s="12"/>
      <c r="C136" s="12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9" t="str">
        <f aca="false">IF(OR(C136="",IFERROR(VLOOKUP(B136,'1 Setup &amp; Keys'!$K$32:$M$41,3,FALSE()),"")=""),"",IFERROR(COUNTIF(D136:R136,"&gt;="&amp;'1 Setup &amp; Keys'!$B$27)/IFERROR(VLOOKUP(B136,'1 Setup &amp; Keys'!$K$32:$M$41,3,FALSE()),""),""))</f>
        <v/>
      </c>
      <c r="U136" s="20" t="n">
        <f aca="false">IF(A136="",0,IF(COUNTIF($A$5:A136,A136)=1,1,0))</f>
        <v>0</v>
      </c>
    </row>
    <row r="137" customFormat="false" ht="15" hidden="false" customHeight="false" outlineLevel="0" collapsed="false">
      <c r="A137" s="12"/>
      <c r="B137" s="12"/>
      <c r="C137" s="12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9" t="str">
        <f aca="false">IF(OR(C137="",IFERROR(VLOOKUP(B137,'1 Setup &amp; Keys'!$K$32:$M$41,3,FALSE()),"")=""),"",IFERROR(COUNTIF(D137:R137,"&gt;="&amp;'1 Setup &amp; Keys'!$B$27)/IFERROR(VLOOKUP(B137,'1 Setup &amp; Keys'!$K$32:$M$41,3,FALSE()),""),""))</f>
        <v/>
      </c>
      <c r="U137" s="20" t="n">
        <f aca="false">IF(A137="",0,IF(COUNTIF($A$5:A137,A137)=1,1,0))</f>
        <v>0</v>
      </c>
    </row>
    <row r="138" customFormat="false" ht="15" hidden="false" customHeight="false" outlineLevel="0" collapsed="false">
      <c r="A138" s="12"/>
      <c r="B138" s="12"/>
      <c r="C138" s="12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9" t="str">
        <f aca="false">IF(OR(C138="",IFERROR(VLOOKUP(B138,'1 Setup &amp; Keys'!$K$32:$M$41,3,FALSE()),"")=""),"",IFERROR(COUNTIF(D138:R138,"&gt;="&amp;'1 Setup &amp; Keys'!$B$27)/IFERROR(VLOOKUP(B138,'1 Setup &amp; Keys'!$K$32:$M$41,3,FALSE()),""),""))</f>
        <v/>
      </c>
      <c r="U138" s="20" t="n">
        <f aca="false">IF(A138="",0,IF(COUNTIF($A$5:A138,A138)=1,1,0))</f>
        <v>0</v>
      </c>
    </row>
    <row r="139" customFormat="false" ht="15" hidden="false" customHeight="false" outlineLevel="0" collapsed="false">
      <c r="A139" s="12"/>
      <c r="B139" s="12"/>
      <c r="C139" s="12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9" t="str">
        <f aca="false">IF(OR(C139="",IFERROR(VLOOKUP(B139,'1 Setup &amp; Keys'!$K$32:$M$41,3,FALSE()),"")=""),"",IFERROR(COUNTIF(D139:R139,"&gt;="&amp;'1 Setup &amp; Keys'!$B$27)/IFERROR(VLOOKUP(B139,'1 Setup &amp; Keys'!$K$32:$M$41,3,FALSE()),""),""))</f>
        <v/>
      </c>
      <c r="U139" s="20" t="n">
        <f aca="false">IF(A139="",0,IF(COUNTIF($A$5:A139,A139)=1,1,0))</f>
        <v>0</v>
      </c>
    </row>
    <row r="140" customFormat="false" ht="15" hidden="false" customHeight="false" outlineLevel="0" collapsed="false">
      <c r="A140" s="12"/>
      <c r="B140" s="12"/>
      <c r="C140" s="12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9" t="str">
        <f aca="false">IF(OR(C140="",IFERROR(VLOOKUP(B140,'1 Setup &amp; Keys'!$K$32:$M$41,3,FALSE()),"")=""),"",IFERROR(COUNTIF(D140:R140,"&gt;="&amp;'1 Setup &amp; Keys'!$B$27)/IFERROR(VLOOKUP(B140,'1 Setup &amp; Keys'!$K$32:$M$41,3,FALSE()),""),""))</f>
        <v/>
      </c>
      <c r="U140" s="20" t="n">
        <f aca="false">IF(A140="",0,IF(COUNTIF($A$5:A140,A140)=1,1,0))</f>
        <v>0</v>
      </c>
    </row>
    <row r="141" customFormat="false" ht="15" hidden="false" customHeight="false" outlineLevel="0" collapsed="false">
      <c r="A141" s="12"/>
      <c r="B141" s="12"/>
      <c r="C141" s="12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9" t="str">
        <f aca="false">IF(OR(C141="",IFERROR(VLOOKUP(B141,'1 Setup &amp; Keys'!$K$32:$M$41,3,FALSE()),"")=""),"",IFERROR(COUNTIF(D141:R141,"&gt;="&amp;'1 Setup &amp; Keys'!$B$27)/IFERROR(VLOOKUP(B141,'1 Setup &amp; Keys'!$K$32:$M$41,3,FALSE()),""),""))</f>
        <v/>
      </c>
      <c r="U141" s="20" t="n">
        <f aca="false">IF(A141="",0,IF(COUNTIF($A$5:A141,A141)=1,1,0))</f>
        <v>0</v>
      </c>
    </row>
    <row r="142" customFormat="false" ht="15" hidden="false" customHeight="false" outlineLevel="0" collapsed="false">
      <c r="A142" s="12"/>
      <c r="B142" s="12"/>
      <c r="C142" s="12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9" t="str">
        <f aca="false">IF(OR(C142="",IFERROR(VLOOKUP(B142,'1 Setup &amp; Keys'!$K$32:$M$41,3,FALSE()),"")=""),"",IFERROR(COUNTIF(D142:R142,"&gt;="&amp;'1 Setup &amp; Keys'!$B$27)/IFERROR(VLOOKUP(B142,'1 Setup &amp; Keys'!$K$32:$M$41,3,FALSE()),""),""))</f>
        <v/>
      </c>
      <c r="U142" s="20" t="n">
        <f aca="false">IF(A142="",0,IF(COUNTIF($A$5:A142,A142)=1,1,0))</f>
        <v>0</v>
      </c>
    </row>
    <row r="143" customFormat="false" ht="15" hidden="false" customHeight="false" outlineLevel="0" collapsed="false">
      <c r="A143" s="12"/>
      <c r="B143" s="12"/>
      <c r="C143" s="12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9" t="str">
        <f aca="false">IF(OR(C143="",IFERROR(VLOOKUP(B143,'1 Setup &amp; Keys'!$K$32:$M$41,3,FALSE()),"")=""),"",IFERROR(COUNTIF(D143:R143,"&gt;="&amp;'1 Setup &amp; Keys'!$B$27)/IFERROR(VLOOKUP(B143,'1 Setup &amp; Keys'!$K$32:$M$41,3,FALSE()),""),""))</f>
        <v/>
      </c>
      <c r="U143" s="20" t="n">
        <f aca="false">IF(A143="",0,IF(COUNTIF($A$5:A143,A143)=1,1,0))</f>
        <v>0</v>
      </c>
    </row>
    <row r="144" customFormat="false" ht="15" hidden="false" customHeight="false" outlineLevel="0" collapsed="false">
      <c r="A144" s="12"/>
      <c r="B144" s="12"/>
      <c r="C144" s="12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9" t="str">
        <f aca="false">IF(OR(C144="",IFERROR(VLOOKUP(B144,'1 Setup &amp; Keys'!$K$32:$M$41,3,FALSE()),"")=""),"",IFERROR(COUNTIF(D144:R144,"&gt;="&amp;'1 Setup &amp; Keys'!$B$27)/IFERROR(VLOOKUP(B144,'1 Setup &amp; Keys'!$K$32:$M$41,3,FALSE()),""),""))</f>
        <v/>
      </c>
      <c r="U144" s="20" t="n">
        <f aca="false">IF(A144="",0,IF(COUNTIF($A$5:A144,A144)=1,1,0))</f>
        <v>0</v>
      </c>
    </row>
    <row r="145" customFormat="false" ht="15" hidden="false" customHeight="false" outlineLevel="0" collapsed="false">
      <c r="A145" s="12"/>
      <c r="B145" s="12"/>
      <c r="C145" s="12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9" t="str">
        <f aca="false">IF(OR(C145="",IFERROR(VLOOKUP(B145,'1 Setup &amp; Keys'!$K$32:$M$41,3,FALSE()),"")=""),"",IFERROR(COUNTIF(D145:R145,"&gt;="&amp;'1 Setup &amp; Keys'!$B$27)/IFERROR(VLOOKUP(B145,'1 Setup &amp; Keys'!$K$32:$M$41,3,FALSE()),""),""))</f>
        <v/>
      </c>
      <c r="U145" s="20" t="n">
        <f aca="false">IF(A145="",0,IF(COUNTIF($A$5:A145,A145)=1,1,0))</f>
        <v>0</v>
      </c>
    </row>
    <row r="146" customFormat="false" ht="15" hidden="false" customHeight="false" outlineLevel="0" collapsed="false">
      <c r="A146" s="12"/>
      <c r="B146" s="12"/>
      <c r="C146" s="12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9" t="str">
        <f aca="false">IF(OR(C146="",IFERROR(VLOOKUP(B146,'1 Setup &amp; Keys'!$K$32:$M$41,3,FALSE()),"")=""),"",IFERROR(COUNTIF(D146:R146,"&gt;="&amp;'1 Setup &amp; Keys'!$B$27)/IFERROR(VLOOKUP(B146,'1 Setup &amp; Keys'!$K$32:$M$41,3,FALSE()),""),""))</f>
        <v/>
      </c>
      <c r="U146" s="20" t="n">
        <f aca="false">IF(A146="",0,IF(COUNTIF($A$5:A146,A146)=1,1,0))</f>
        <v>0</v>
      </c>
    </row>
    <row r="147" customFormat="false" ht="15" hidden="false" customHeight="false" outlineLevel="0" collapsed="false">
      <c r="A147" s="12"/>
      <c r="B147" s="12"/>
      <c r="C147" s="12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9" t="str">
        <f aca="false">IF(OR(C147="",IFERROR(VLOOKUP(B147,'1 Setup &amp; Keys'!$K$32:$M$41,3,FALSE()),"")=""),"",IFERROR(COUNTIF(D147:R147,"&gt;="&amp;'1 Setup &amp; Keys'!$B$27)/IFERROR(VLOOKUP(B147,'1 Setup &amp; Keys'!$K$32:$M$41,3,FALSE()),""),""))</f>
        <v/>
      </c>
      <c r="U147" s="20" t="n">
        <f aca="false">IF(A147="",0,IF(COUNTIF($A$5:A147,A147)=1,1,0))</f>
        <v>0</v>
      </c>
    </row>
    <row r="148" customFormat="false" ht="15" hidden="false" customHeight="false" outlineLevel="0" collapsed="false">
      <c r="A148" s="12"/>
      <c r="B148" s="12"/>
      <c r="C148" s="12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9" t="str">
        <f aca="false">IF(OR(C148="",IFERROR(VLOOKUP(B148,'1 Setup &amp; Keys'!$K$32:$M$41,3,FALSE()),"")=""),"",IFERROR(COUNTIF(D148:R148,"&gt;="&amp;'1 Setup &amp; Keys'!$B$27)/IFERROR(VLOOKUP(B148,'1 Setup &amp; Keys'!$K$32:$M$41,3,FALSE()),""),""))</f>
        <v/>
      </c>
      <c r="U148" s="20" t="n">
        <f aca="false">IF(A148="",0,IF(COUNTIF($A$5:A148,A148)=1,1,0))</f>
        <v>0</v>
      </c>
    </row>
    <row r="149" customFormat="false" ht="15" hidden="false" customHeight="false" outlineLevel="0" collapsed="false">
      <c r="A149" s="12"/>
      <c r="B149" s="12"/>
      <c r="C149" s="12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9" t="str">
        <f aca="false">IF(OR(C149="",IFERROR(VLOOKUP(B149,'1 Setup &amp; Keys'!$K$32:$M$41,3,FALSE()),"")=""),"",IFERROR(COUNTIF(D149:R149,"&gt;="&amp;'1 Setup &amp; Keys'!$B$27)/IFERROR(VLOOKUP(B149,'1 Setup &amp; Keys'!$K$32:$M$41,3,FALSE()),""),""))</f>
        <v/>
      </c>
      <c r="U149" s="20" t="n">
        <f aca="false">IF(A149="",0,IF(COUNTIF($A$5:A149,A149)=1,1,0))</f>
        <v>0</v>
      </c>
    </row>
    <row r="150" customFormat="false" ht="15" hidden="false" customHeight="false" outlineLevel="0" collapsed="false">
      <c r="A150" s="12"/>
      <c r="B150" s="12"/>
      <c r="C150" s="12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9" t="str">
        <f aca="false">IF(OR(C150="",IFERROR(VLOOKUP(B150,'1 Setup &amp; Keys'!$K$32:$M$41,3,FALSE()),"")=""),"",IFERROR(COUNTIF(D150:R150,"&gt;="&amp;'1 Setup &amp; Keys'!$B$27)/IFERROR(VLOOKUP(B150,'1 Setup &amp; Keys'!$K$32:$M$41,3,FALSE()),""),""))</f>
        <v/>
      </c>
      <c r="U150" s="20" t="n">
        <f aca="false">IF(A150="",0,IF(COUNTIF($A$5:A150,A150)=1,1,0))</f>
        <v>0</v>
      </c>
    </row>
    <row r="151" customFormat="false" ht="15" hidden="false" customHeight="false" outlineLevel="0" collapsed="false">
      <c r="A151" s="12"/>
      <c r="B151" s="12"/>
      <c r="C151" s="12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9" t="str">
        <f aca="false">IF(OR(C151="",IFERROR(VLOOKUP(B151,'1 Setup &amp; Keys'!$K$32:$M$41,3,FALSE()),"")=""),"",IFERROR(COUNTIF(D151:R151,"&gt;="&amp;'1 Setup &amp; Keys'!$B$27)/IFERROR(VLOOKUP(B151,'1 Setup &amp; Keys'!$K$32:$M$41,3,FALSE()),""),""))</f>
        <v/>
      </c>
      <c r="U151" s="20" t="n">
        <f aca="false">IF(A151="",0,IF(COUNTIF($A$5:A151,A151)=1,1,0))</f>
        <v>0</v>
      </c>
    </row>
    <row r="152" customFormat="false" ht="15" hidden="false" customHeight="false" outlineLevel="0" collapsed="false">
      <c r="A152" s="12"/>
      <c r="B152" s="12"/>
      <c r="C152" s="12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9" t="str">
        <f aca="false">IF(OR(C152="",IFERROR(VLOOKUP(B152,'1 Setup &amp; Keys'!$K$32:$M$41,3,FALSE()),"")=""),"",IFERROR(COUNTIF(D152:R152,"&gt;="&amp;'1 Setup &amp; Keys'!$B$27)/IFERROR(VLOOKUP(B152,'1 Setup &amp; Keys'!$K$32:$M$41,3,FALSE()),""),""))</f>
        <v/>
      </c>
      <c r="U152" s="20" t="n">
        <f aca="false">IF(A152="",0,IF(COUNTIF($A$5:A152,A152)=1,1,0))</f>
        <v>0</v>
      </c>
    </row>
    <row r="153" customFormat="false" ht="15" hidden="false" customHeight="false" outlineLevel="0" collapsed="false">
      <c r="A153" s="12"/>
      <c r="B153" s="12"/>
      <c r="C153" s="12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9" t="str">
        <f aca="false">IF(OR(C153="",IFERROR(VLOOKUP(B153,'1 Setup &amp; Keys'!$K$32:$M$41,3,FALSE()),"")=""),"",IFERROR(COUNTIF(D153:R153,"&gt;="&amp;'1 Setup &amp; Keys'!$B$27)/IFERROR(VLOOKUP(B153,'1 Setup &amp; Keys'!$K$32:$M$41,3,FALSE()),""),""))</f>
        <v/>
      </c>
      <c r="U153" s="20" t="n">
        <f aca="false">IF(A153="",0,IF(COUNTIF($A$5:A153,A153)=1,1,0))</f>
        <v>0</v>
      </c>
    </row>
    <row r="154" customFormat="false" ht="15" hidden="false" customHeight="false" outlineLevel="0" collapsed="false">
      <c r="A154" s="12"/>
      <c r="B154" s="12"/>
      <c r="C154" s="12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9" t="str">
        <f aca="false">IF(OR(C154="",IFERROR(VLOOKUP(B154,'1 Setup &amp; Keys'!$K$32:$M$41,3,FALSE()),"")=""),"",IFERROR(COUNTIF(D154:R154,"&gt;="&amp;'1 Setup &amp; Keys'!$B$27)/IFERROR(VLOOKUP(B154,'1 Setup &amp; Keys'!$K$32:$M$41,3,FALSE()),""),""))</f>
        <v/>
      </c>
      <c r="U154" s="20" t="n">
        <f aca="false">IF(A154="",0,IF(COUNTIF($A$5:A154,A154)=1,1,0))</f>
        <v>0</v>
      </c>
    </row>
  </sheetData>
  <sheetProtection sheet="true" formatCells="false" formatColumns="false" formatRows="false"/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7" min="3" style="0" width="12"/>
    <col collapsed="false" customWidth="true" hidden="false" outlineLevel="0" max="8" min="8" style="0" width="10"/>
    <col collapsed="false" customWidth="true" hidden="false" outlineLevel="0" max="14" min="9" style="0" width="7"/>
  </cols>
  <sheetData>
    <row r="1" customFormat="false" ht="25.5" hidden="false" customHeight="true" outlineLevel="0" collapsed="false">
      <c r="A1" s="1" t="s">
        <v>170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3.5" hidden="false" customHeight="true" outlineLevel="0" collapsed="false">
      <c r="A2" s="2" t="s">
        <v>171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2.35" hidden="false" customHeight="false" outlineLevel="0" collapsed="false">
      <c r="A4" s="15" t="s">
        <v>172</v>
      </c>
      <c r="B4" s="15" t="s">
        <v>35</v>
      </c>
      <c r="C4" s="15" t="s">
        <v>173</v>
      </c>
      <c r="D4" s="15" t="s">
        <v>174</v>
      </c>
      <c r="E4" s="15" t="s">
        <v>175</v>
      </c>
      <c r="F4" s="15" t="s">
        <v>176</v>
      </c>
      <c r="G4" s="15" t="s">
        <v>177</v>
      </c>
      <c r="H4" s="15" t="s">
        <v>178</v>
      </c>
      <c r="I4" s="15" t="s">
        <v>179</v>
      </c>
      <c r="J4" s="15" t="s">
        <v>180</v>
      </c>
      <c r="K4" s="15" t="s">
        <v>181</v>
      </c>
      <c r="L4" s="15" t="s">
        <v>182</v>
      </c>
      <c r="M4" s="15" t="s">
        <v>183</v>
      </c>
      <c r="N4" s="15" t="s">
        <v>184</v>
      </c>
    </row>
    <row r="5" customFormat="false" ht="15" hidden="false" customHeight="false" outlineLevel="0" collapsed="false">
      <c r="A5" s="12"/>
      <c r="B5" s="12"/>
      <c r="C5" s="12"/>
      <c r="D5" s="12"/>
      <c r="E5" s="12"/>
      <c r="F5" s="12"/>
      <c r="G5" s="12"/>
      <c r="H5" s="21"/>
      <c r="I5" s="20" t="str">
        <f aca="false">IF(OR($B5="",C5=""),"",COUNTIFS($B$5:$B$154,$B5,C$5:C$154,C5))</f>
        <v/>
      </c>
      <c r="J5" s="20" t="str">
        <f aca="false">IF(OR($B5="",D5=""),"",COUNTIFS($B$5:$B$154,$B5,D$5:D$154,D5))</f>
        <v/>
      </c>
      <c r="K5" s="20" t="str">
        <f aca="false">IF(OR($B5="",E5=""),"",COUNTIFS($B$5:$B$154,$B5,E$5:E$154,E5))</f>
        <v/>
      </c>
      <c r="L5" s="20" t="str">
        <f aca="false">IF(OR($B5="",F5=""),"",COUNTIFS($B$5:$B$154,$B5,F$5:F$154,F5))</f>
        <v/>
      </c>
      <c r="M5" s="20" t="str">
        <f aca="false">IF(OR($B5="",G5=""),"",COUNTIFS($B$5:$B$154,$B5,G$5:G$154,G5))</f>
        <v/>
      </c>
      <c r="N5" s="20" t="n">
        <f aca="false">IF(A5="",0,IF(COUNTIF($A$5:A5,A5)=1,1,0))</f>
        <v>0</v>
      </c>
    </row>
    <row r="6" customFormat="false" ht="15" hidden="false" customHeight="false" outlineLevel="0" collapsed="false">
      <c r="A6" s="12"/>
      <c r="B6" s="12"/>
      <c r="C6" s="12"/>
      <c r="D6" s="12"/>
      <c r="E6" s="12"/>
      <c r="F6" s="12"/>
      <c r="G6" s="12"/>
      <c r="H6" s="21"/>
      <c r="I6" s="20" t="str">
        <f aca="false">IF(OR($B6="",C6=""),"",COUNTIFS($B$5:$B$154,$B6,C$5:C$154,C6))</f>
        <v/>
      </c>
      <c r="J6" s="20" t="str">
        <f aca="false">IF(OR($B6="",D6=""),"",COUNTIFS($B$5:$B$154,$B6,D$5:D$154,D6))</f>
        <v/>
      </c>
      <c r="K6" s="20" t="str">
        <f aca="false">IF(OR($B6="",E6=""),"",COUNTIFS($B$5:$B$154,$B6,E$5:E$154,E6))</f>
        <v/>
      </c>
      <c r="L6" s="20" t="str">
        <f aca="false">IF(OR($B6="",F6=""),"",COUNTIFS($B$5:$B$154,$B6,F$5:F$154,F6))</f>
        <v/>
      </c>
      <c r="M6" s="20" t="str">
        <f aca="false">IF(OR($B6="",G6=""),"",COUNTIFS($B$5:$B$154,$B6,G$5:G$154,G6))</f>
        <v/>
      </c>
      <c r="N6" s="20" t="n">
        <f aca="false">IF(A6="",0,IF(COUNTIF($A$5:A6,A6)=1,1,0))</f>
        <v>0</v>
      </c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2"/>
      <c r="H7" s="21"/>
      <c r="I7" s="20" t="str">
        <f aca="false">IF(OR($B7="",C7=""),"",COUNTIFS($B$5:$B$154,$B7,C$5:C$154,C7))</f>
        <v/>
      </c>
      <c r="J7" s="20" t="str">
        <f aca="false">IF(OR($B7="",D7=""),"",COUNTIFS($B$5:$B$154,$B7,D$5:D$154,D7))</f>
        <v/>
      </c>
      <c r="K7" s="20" t="str">
        <f aca="false">IF(OR($B7="",E7=""),"",COUNTIFS($B$5:$B$154,$B7,E$5:E$154,E7))</f>
        <v/>
      </c>
      <c r="L7" s="20" t="str">
        <f aca="false">IF(OR($B7="",F7=""),"",COUNTIFS($B$5:$B$154,$B7,F$5:F$154,F7))</f>
        <v/>
      </c>
      <c r="M7" s="20" t="str">
        <f aca="false">IF(OR($B7="",G7=""),"",COUNTIFS($B$5:$B$154,$B7,G$5:G$154,G7))</f>
        <v/>
      </c>
      <c r="N7" s="20" t="n">
        <f aca="false">IF(A7="",0,IF(COUNTIF($A$5:A7,A7)=1,1,0))</f>
        <v>0</v>
      </c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21"/>
      <c r="I8" s="20" t="str">
        <f aca="false">IF(OR($B8="",C8=""),"",COUNTIFS($B$5:$B$154,$B8,C$5:C$154,C8))</f>
        <v/>
      </c>
      <c r="J8" s="20" t="str">
        <f aca="false">IF(OR($B8="",D8=""),"",COUNTIFS($B$5:$B$154,$B8,D$5:D$154,D8))</f>
        <v/>
      </c>
      <c r="K8" s="20" t="str">
        <f aca="false">IF(OR($B8="",E8=""),"",COUNTIFS($B$5:$B$154,$B8,E$5:E$154,E8))</f>
        <v/>
      </c>
      <c r="L8" s="20" t="str">
        <f aca="false">IF(OR($B8="",F8=""),"",COUNTIFS($B$5:$B$154,$B8,F$5:F$154,F8))</f>
        <v/>
      </c>
      <c r="M8" s="20" t="str">
        <f aca="false">IF(OR($B8="",G8=""),"",COUNTIFS($B$5:$B$154,$B8,G$5:G$154,G8))</f>
        <v/>
      </c>
      <c r="N8" s="20" t="n">
        <f aca="false">IF(A8="",0,IF(COUNTIF($A$5:A8,A8)=1,1,0))</f>
        <v>0</v>
      </c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21"/>
      <c r="I9" s="20" t="str">
        <f aca="false">IF(OR($B9="",C9=""),"",COUNTIFS($B$5:$B$154,$B9,C$5:C$154,C9))</f>
        <v/>
      </c>
      <c r="J9" s="20" t="str">
        <f aca="false">IF(OR($B9="",D9=""),"",COUNTIFS($B$5:$B$154,$B9,D$5:D$154,D9))</f>
        <v/>
      </c>
      <c r="K9" s="20" t="str">
        <f aca="false">IF(OR($B9="",E9=""),"",COUNTIFS($B$5:$B$154,$B9,E$5:E$154,E9))</f>
        <v/>
      </c>
      <c r="L9" s="20" t="str">
        <f aca="false">IF(OR($B9="",F9=""),"",COUNTIFS($B$5:$B$154,$B9,F$5:F$154,F9))</f>
        <v/>
      </c>
      <c r="M9" s="20" t="str">
        <f aca="false">IF(OR($B9="",G9=""),"",COUNTIFS($B$5:$B$154,$B9,G$5:G$154,G9))</f>
        <v/>
      </c>
      <c r="N9" s="20" t="n">
        <f aca="false">IF(A9="",0,IF(COUNTIF($A$5:A9,A9)=1,1,0))</f>
        <v>0</v>
      </c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21"/>
      <c r="I10" s="20" t="str">
        <f aca="false">IF(OR($B10="",C10=""),"",COUNTIFS($B$5:$B$154,$B10,C$5:C$154,C10))</f>
        <v/>
      </c>
      <c r="J10" s="20" t="str">
        <f aca="false">IF(OR($B10="",D10=""),"",COUNTIFS($B$5:$B$154,$B10,D$5:D$154,D10))</f>
        <v/>
      </c>
      <c r="K10" s="20" t="str">
        <f aca="false">IF(OR($B10="",E10=""),"",COUNTIFS($B$5:$B$154,$B10,E$5:E$154,E10))</f>
        <v/>
      </c>
      <c r="L10" s="20" t="str">
        <f aca="false">IF(OR($B10="",F10=""),"",COUNTIFS($B$5:$B$154,$B10,F$5:F$154,F10))</f>
        <v/>
      </c>
      <c r="M10" s="20" t="str">
        <f aca="false">IF(OR($B10="",G10=""),"",COUNTIFS($B$5:$B$154,$B10,G$5:G$154,G10))</f>
        <v/>
      </c>
      <c r="N10" s="20" t="n">
        <f aca="false">IF(A10="",0,IF(COUNTIF($A$5:A10,A10)=1,1,0))</f>
        <v>0</v>
      </c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21"/>
      <c r="I11" s="20" t="str">
        <f aca="false">IF(OR($B11="",C11=""),"",COUNTIFS($B$5:$B$154,$B11,C$5:C$154,C11))</f>
        <v/>
      </c>
      <c r="J11" s="20" t="str">
        <f aca="false">IF(OR($B11="",D11=""),"",COUNTIFS($B$5:$B$154,$B11,D$5:D$154,D11))</f>
        <v/>
      </c>
      <c r="K11" s="20" t="str">
        <f aca="false">IF(OR($B11="",E11=""),"",COUNTIFS($B$5:$B$154,$B11,E$5:E$154,E11))</f>
        <v/>
      </c>
      <c r="L11" s="20" t="str">
        <f aca="false">IF(OR($B11="",F11=""),"",COUNTIFS($B$5:$B$154,$B11,F$5:F$154,F11))</f>
        <v/>
      </c>
      <c r="M11" s="20" t="str">
        <f aca="false">IF(OR($B11="",G11=""),"",COUNTIFS($B$5:$B$154,$B11,G$5:G$154,G11))</f>
        <v/>
      </c>
      <c r="N11" s="20" t="n">
        <f aca="false">IF(A11="",0,IF(COUNTIF($A$5:A11,A11)=1,1,0))</f>
        <v>0</v>
      </c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21"/>
      <c r="I12" s="20" t="str">
        <f aca="false">IF(OR($B12="",C12=""),"",COUNTIFS($B$5:$B$154,$B12,C$5:C$154,C12))</f>
        <v/>
      </c>
      <c r="J12" s="20" t="str">
        <f aca="false">IF(OR($B12="",D12=""),"",COUNTIFS($B$5:$B$154,$B12,D$5:D$154,D12))</f>
        <v/>
      </c>
      <c r="K12" s="20" t="str">
        <f aca="false">IF(OR($B12="",E12=""),"",COUNTIFS($B$5:$B$154,$B12,E$5:E$154,E12))</f>
        <v/>
      </c>
      <c r="L12" s="20" t="str">
        <f aca="false">IF(OR($B12="",F12=""),"",COUNTIFS($B$5:$B$154,$B12,F$5:F$154,F12))</f>
        <v/>
      </c>
      <c r="M12" s="20" t="str">
        <f aca="false">IF(OR($B12="",G12=""),"",COUNTIFS($B$5:$B$154,$B12,G$5:G$154,G12))</f>
        <v/>
      </c>
      <c r="N12" s="20" t="n">
        <f aca="false">IF(A12="",0,IF(COUNTIF($A$5:A12,A12)=1,1,0))</f>
        <v>0</v>
      </c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21"/>
      <c r="I13" s="20" t="str">
        <f aca="false">IF(OR($B13="",C13=""),"",COUNTIFS($B$5:$B$154,$B13,C$5:C$154,C13))</f>
        <v/>
      </c>
      <c r="J13" s="20" t="str">
        <f aca="false">IF(OR($B13="",D13=""),"",COUNTIFS($B$5:$B$154,$B13,D$5:D$154,D13))</f>
        <v/>
      </c>
      <c r="K13" s="20" t="str">
        <f aca="false">IF(OR($B13="",E13=""),"",COUNTIFS($B$5:$B$154,$B13,E$5:E$154,E13))</f>
        <v/>
      </c>
      <c r="L13" s="20" t="str">
        <f aca="false">IF(OR($B13="",F13=""),"",COUNTIFS($B$5:$B$154,$B13,F$5:F$154,F13))</f>
        <v/>
      </c>
      <c r="M13" s="20" t="str">
        <f aca="false">IF(OR($B13="",G13=""),"",COUNTIFS($B$5:$B$154,$B13,G$5:G$154,G13))</f>
        <v/>
      </c>
      <c r="N13" s="20" t="n">
        <f aca="false">IF(A13="",0,IF(COUNTIF($A$5:A13,A13)=1,1,0))</f>
        <v>0</v>
      </c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21"/>
      <c r="I14" s="20" t="str">
        <f aca="false">IF(OR($B14="",C14=""),"",COUNTIFS($B$5:$B$154,$B14,C$5:C$154,C14))</f>
        <v/>
      </c>
      <c r="J14" s="20" t="str">
        <f aca="false">IF(OR($B14="",D14=""),"",COUNTIFS($B$5:$B$154,$B14,D$5:D$154,D14))</f>
        <v/>
      </c>
      <c r="K14" s="20" t="str">
        <f aca="false">IF(OR($B14="",E14=""),"",COUNTIFS($B$5:$B$154,$B14,E$5:E$154,E14))</f>
        <v/>
      </c>
      <c r="L14" s="20" t="str">
        <f aca="false">IF(OR($B14="",F14=""),"",COUNTIFS($B$5:$B$154,$B14,F$5:F$154,F14))</f>
        <v/>
      </c>
      <c r="M14" s="20" t="str">
        <f aca="false">IF(OR($B14="",G14=""),"",COUNTIFS($B$5:$B$154,$B14,G$5:G$154,G14))</f>
        <v/>
      </c>
      <c r="N14" s="20" t="n">
        <f aca="false">IF(A14="",0,IF(COUNTIF($A$5:A14,A14)=1,1,0))</f>
        <v>0</v>
      </c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21"/>
      <c r="I15" s="20" t="str">
        <f aca="false">IF(OR($B15="",C15=""),"",COUNTIFS($B$5:$B$154,$B15,C$5:C$154,C15))</f>
        <v/>
      </c>
      <c r="J15" s="20" t="str">
        <f aca="false">IF(OR($B15="",D15=""),"",COUNTIFS($B$5:$B$154,$B15,D$5:D$154,D15))</f>
        <v/>
      </c>
      <c r="K15" s="20" t="str">
        <f aca="false">IF(OR($B15="",E15=""),"",COUNTIFS($B$5:$B$154,$B15,E$5:E$154,E15))</f>
        <v/>
      </c>
      <c r="L15" s="20" t="str">
        <f aca="false">IF(OR($B15="",F15=""),"",COUNTIFS($B$5:$B$154,$B15,F$5:F$154,F15))</f>
        <v/>
      </c>
      <c r="M15" s="20" t="str">
        <f aca="false">IF(OR($B15="",G15=""),"",COUNTIFS($B$5:$B$154,$B15,G$5:G$154,G15))</f>
        <v/>
      </c>
      <c r="N15" s="20" t="n">
        <f aca="false">IF(A15="",0,IF(COUNTIF($A$5:A15,A15)=1,1,0))</f>
        <v>0</v>
      </c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21"/>
      <c r="I16" s="20" t="str">
        <f aca="false">IF(OR($B16="",C16=""),"",COUNTIFS($B$5:$B$154,$B16,C$5:C$154,C16))</f>
        <v/>
      </c>
      <c r="J16" s="20" t="str">
        <f aca="false">IF(OR($B16="",D16=""),"",COUNTIFS($B$5:$B$154,$B16,D$5:D$154,D16))</f>
        <v/>
      </c>
      <c r="K16" s="20" t="str">
        <f aca="false">IF(OR($B16="",E16=""),"",COUNTIFS($B$5:$B$154,$B16,E$5:E$154,E16))</f>
        <v/>
      </c>
      <c r="L16" s="20" t="str">
        <f aca="false">IF(OR($B16="",F16=""),"",COUNTIFS($B$5:$B$154,$B16,F$5:F$154,F16))</f>
        <v/>
      </c>
      <c r="M16" s="20" t="str">
        <f aca="false">IF(OR($B16="",G16=""),"",COUNTIFS($B$5:$B$154,$B16,G$5:G$154,G16))</f>
        <v/>
      </c>
      <c r="N16" s="20" t="n">
        <f aca="false">IF(A16="",0,IF(COUNTIF($A$5:A16,A16)=1,1,0))</f>
        <v>0</v>
      </c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21"/>
      <c r="I17" s="20" t="str">
        <f aca="false">IF(OR($B17="",C17=""),"",COUNTIFS($B$5:$B$154,$B17,C$5:C$154,C17))</f>
        <v/>
      </c>
      <c r="J17" s="20" t="str">
        <f aca="false">IF(OR($B17="",D17=""),"",COUNTIFS($B$5:$B$154,$B17,D$5:D$154,D17))</f>
        <v/>
      </c>
      <c r="K17" s="20" t="str">
        <f aca="false">IF(OR($B17="",E17=""),"",COUNTIFS($B$5:$B$154,$B17,E$5:E$154,E17))</f>
        <v/>
      </c>
      <c r="L17" s="20" t="str">
        <f aca="false">IF(OR($B17="",F17=""),"",COUNTIFS($B$5:$B$154,$B17,F$5:F$154,F17))</f>
        <v/>
      </c>
      <c r="M17" s="20" t="str">
        <f aca="false">IF(OR($B17="",G17=""),"",COUNTIFS($B$5:$B$154,$B17,G$5:G$154,G17))</f>
        <v/>
      </c>
      <c r="N17" s="20" t="n">
        <f aca="false">IF(A17="",0,IF(COUNTIF($A$5:A17,A17)=1,1,0))</f>
        <v>0</v>
      </c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21"/>
      <c r="I18" s="20" t="str">
        <f aca="false">IF(OR($B18="",C18=""),"",COUNTIFS($B$5:$B$154,$B18,C$5:C$154,C18))</f>
        <v/>
      </c>
      <c r="J18" s="20" t="str">
        <f aca="false">IF(OR($B18="",D18=""),"",COUNTIFS($B$5:$B$154,$B18,D$5:D$154,D18))</f>
        <v/>
      </c>
      <c r="K18" s="20" t="str">
        <f aca="false">IF(OR($B18="",E18=""),"",COUNTIFS($B$5:$B$154,$B18,E$5:E$154,E18))</f>
        <v/>
      </c>
      <c r="L18" s="20" t="str">
        <f aca="false">IF(OR($B18="",F18=""),"",COUNTIFS($B$5:$B$154,$B18,F$5:F$154,F18))</f>
        <v/>
      </c>
      <c r="M18" s="20" t="str">
        <f aca="false">IF(OR($B18="",G18=""),"",COUNTIFS($B$5:$B$154,$B18,G$5:G$154,G18))</f>
        <v/>
      </c>
      <c r="N18" s="20" t="n">
        <f aca="false">IF(A18="",0,IF(COUNTIF($A$5:A18,A18)=1,1,0))</f>
        <v>0</v>
      </c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21"/>
      <c r="I19" s="20" t="str">
        <f aca="false">IF(OR($B19="",C19=""),"",COUNTIFS($B$5:$B$154,$B19,C$5:C$154,C19))</f>
        <v/>
      </c>
      <c r="J19" s="20" t="str">
        <f aca="false">IF(OR($B19="",D19=""),"",COUNTIFS($B$5:$B$154,$B19,D$5:D$154,D19))</f>
        <v/>
      </c>
      <c r="K19" s="20" t="str">
        <f aca="false">IF(OR($B19="",E19=""),"",COUNTIFS($B$5:$B$154,$B19,E$5:E$154,E19))</f>
        <v/>
      </c>
      <c r="L19" s="20" t="str">
        <f aca="false">IF(OR($B19="",F19=""),"",COUNTIFS($B$5:$B$154,$B19,F$5:F$154,F19))</f>
        <v/>
      </c>
      <c r="M19" s="20" t="str">
        <f aca="false">IF(OR($B19="",G19=""),"",COUNTIFS($B$5:$B$154,$B19,G$5:G$154,G19))</f>
        <v/>
      </c>
      <c r="N19" s="20" t="n">
        <f aca="false">IF(A19="",0,IF(COUNTIF($A$5:A19,A19)=1,1,0))</f>
        <v>0</v>
      </c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21"/>
      <c r="I20" s="20" t="str">
        <f aca="false">IF(OR($B20="",C20=""),"",COUNTIFS($B$5:$B$154,$B20,C$5:C$154,C20))</f>
        <v/>
      </c>
      <c r="J20" s="20" t="str">
        <f aca="false">IF(OR($B20="",D20=""),"",COUNTIFS($B$5:$B$154,$B20,D$5:D$154,D20))</f>
        <v/>
      </c>
      <c r="K20" s="20" t="str">
        <f aca="false">IF(OR($B20="",E20=""),"",COUNTIFS($B$5:$B$154,$B20,E$5:E$154,E20))</f>
        <v/>
      </c>
      <c r="L20" s="20" t="str">
        <f aca="false">IF(OR($B20="",F20=""),"",COUNTIFS($B$5:$B$154,$B20,F$5:F$154,F20))</f>
        <v/>
      </c>
      <c r="M20" s="20" t="str">
        <f aca="false">IF(OR($B20="",G20=""),"",COUNTIFS($B$5:$B$154,$B20,G$5:G$154,G20))</f>
        <v/>
      </c>
      <c r="N20" s="20" t="n">
        <f aca="false">IF(A20="",0,IF(COUNTIF($A$5:A20,A20)=1,1,0))</f>
        <v>0</v>
      </c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21"/>
      <c r="I21" s="20" t="str">
        <f aca="false">IF(OR($B21="",C21=""),"",COUNTIFS($B$5:$B$154,$B21,C$5:C$154,C21))</f>
        <v/>
      </c>
      <c r="J21" s="20" t="str">
        <f aca="false">IF(OR($B21="",D21=""),"",COUNTIFS($B$5:$B$154,$B21,D$5:D$154,D21))</f>
        <v/>
      </c>
      <c r="K21" s="20" t="str">
        <f aca="false">IF(OR($B21="",E21=""),"",COUNTIFS($B$5:$B$154,$B21,E$5:E$154,E21))</f>
        <v/>
      </c>
      <c r="L21" s="20" t="str">
        <f aca="false">IF(OR($B21="",F21=""),"",COUNTIFS($B$5:$B$154,$B21,F$5:F$154,F21))</f>
        <v/>
      </c>
      <c r="M21" s="20" t="str">
        <f aca="false">IF(OR($B21="",G21=""),"",COUNTIFS($B$5:$B$154,$B21,G$5:G$154,G21))</f>
        <v/>
      </c>
      <c r="N21" s="20" t="n">
        <f aca="false">IF(A21="",0,IF(COUNTIF($A$5:A21,A21)=1,1,0))</f>
        <v>0</v>
      </c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21"/>
      <c r="I22" s="20" t="str">
        <f aca="false">IF(OR($B22="",C22=""),"",COUNTIFS($B$5:$B$154,$B22,C$5:C$154,C22))</f>
        <v/>
      </c>
      <c r="J22" s="20" t="str">
        <f aca="false">IF(OR($B22="",D22=""),"",COUNTIFS($B$5:$B$154,$B22,D$5:D$154,D22))</f>
        <v/>
      </c>
      <c r="K22" s="20" t="str">
        <f aca="false">IF(OR($B22="",E22=""),"",COUNTIFS($B$5:$B$154,$B22,E$5:E$154,E22))</f>
        <v/>
      </c>
      <c r="L22" s="20" t="str">
        <f aca="false">IF(OR($B22="",F22=""),"",COUNTIFS($B$5:$B$154,$B22,F$5:F$154,F22))</f>
        <v/>
      </c>
      <c r="M22" s="20" t="str">
        <f aca="false">IF(OR($B22="",G22=""),"",COUNTIFS($B$5:$B$154,$B22,G$5:G$154,G22))</f>
        <v/>
      </c>
      <c r="N22" s="20" t="n">
        <f aca="false">IF(A22="",0,IF(COUNTIF($A$5:A22,A22)=1,1,0))</f>
        <v>0</v>
      </c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21"/>
      <c r="I23" s="20" t="str">
        <f aca="false">IF(OR($B23="",C23=""),"",COUNTIFS($B$5:$B$154,$B23,C$5:C$154,C23))</f>
        <v/>
      </c>
      <c r="J23" s="20" t="str">
        <f aca="false">IF(OR($B23="",D23=""),"",COUNTIFS($B$5:$B$154,$B23,D$5:D$154,D23))</f>
        <v/>
      </c>
      <c r="K23" s="20" t="str">
        <f aca="false">IF(OR($B23="",E23=""),"",COUNTIFS($B$5:$B$154,$B23,E$5:E$154,E23))</f>
        <v/>
      </c>
      <c r="L23" s="20" t="str">
        <f aca="false">IF(OR($B23="",F23=""),"",COUNTIFS($B$5:$B$154,$B23,F$5:F$154,F23))</f>
        <v/>
      </c>
      <c r="M23" s="20" t="str">
        <f aca="false">IF(OR($B23="",G23=""),"",COUNTIFS($B$5:$B$154,$B23,G$5:G$154,G23))</f>
        <v/>
      </c>
      <c r="N23" s="20" t="n">
        <f aca="false">IF(A23="",0,IF(COUNTIF($A$5:A23,A23)=1,1,0))</f>
        <v>0</v>
      </c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21"/>
      <c r="I24" s="20" t="str">
        <f aca="false">IF(OR($B24="",C24=""),"",COUNTIFS($B$5:$B$154,$B24,C$5:C$154,C24))</f>
        <v/>
      </c>
      <c r="J24" s="20" t="str">
        <f aca="false">IF(OR($B24="",D24=""),"",COUNTIFS($B$5:$B$154,$B24,D$5:D$154,D24))</f>
        <v/>
      </c>
      <c r="K24" s="20" t="str">
        <f aca="false">IF(OR($B24="",E24=""),"",COUNTIFS($B$5:$B$154,$B24,E$5:E$154,E24))</f>
        <v/>
      </c>
      <c r="L24" s="20" t="str">
        <f aca="false">IF(OR($B24="",F24=""),"",COUNTIFS($B$5:$B$154,$B24,F$5:F$154,F24))</f>
        <v/>
      </c>
      <c r="M24" s="20" t="str">
        <f aca="false">IF(OR($B24="",G24=""),"",COUNTIFS($B$5:$B$154,$B24,G$5:G$154,G24))</f>
        <v/>
      </c>
      <c r="N24" s="20" t="n">
        <f aca="false">IF(A24="",0,IF(COUNTIF($A$5:A24,A24)=1,1,0))</f>
        <v>0</v>
      </c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21"/>
      <c r="I25" s="20" t="str">
        <f aca="false">IF(OR($B25="",C25=""),"",COUNTIFS($B$5:$B$154,$B25,C$5:C$154,C25))</f>
        <v/>
      </c>
      <c r="J25" s="20" t="str">
        <f aca="false">IF(OR($B25="",D25=""),"",COUNTIFS($B$5:$B$154,$B25,D$5:D$154,D25))</f>
        <v/>
      </c>
      <c r="K25" s="20" t="str">
        <f aca="false">IF(OR($B25="",E25=""),"",COUNTIFS($B$5:$B$154,$B25,E$5:E$154,E25))</f>
        <v/>
      </c>
      <c r="L25" s="20" t="str">
        <f aca="false">IF(OR($B25="",F25=""),"",COUNTIFS($B$5:$B$154,$B25,F$5:F$154,F25))</f>
        <v/>
      </c>
      <c r="M25" s="20" t="str">
        <f aca="false">IF(OR($B25="",G25=""),"",COUNTIFS($B$5:$B$154,$B25,G$5:G$154,G25))</f>
        <v/>
      </c>
      <c r="N25" s="20" t="n">
        <f aca="false">IF(A25="",0,IF(COUNTIF($A$5:A25,A25)=1,1,0))</f>
        <v>0</v>
      </c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21"/>
      <c r="I26" s="20" t="str">
        <f aca="false">IF(OR($B26="",C26=""),"",COUNTIFS($B$5:$B$154,$B26,C$5:C$154,C26))</f>
        <v/>
      </c>
      <c r="J26" s="20" t="str">
        <f aca="false">IF(OR($B26="",D26=""),"",COUNTIFS($B$5:$B$154,$B26,D$5:D$154,D26))</f>
        <v/>
      </c>
      <c r="K26" s="20" t="str">
        <f aca="false">IF(OR($B26="",E26=""),"",COUNTIFS($B$5:$B$154,$B26,E$5:E$154,E26))</f>
        <v/>
      </c>
      <c r="L26" s="20" t="str">
        <f aca="false">IF(OR($B26="",F26=""),"",COUNTIFS($B$5:$B$154,$B26,F$5:F$154,F26))</f>
        <v/>
      </c>
      <c r="M26" s="20" t="str">
        <f aca="false">IF(OR($B26="",G26=""),"",COUNTIFS($B$5:$B$154,$B26,G$5:G$154,G26))</f>
        <v/>
      </c>
      <c r="N26" s="20" t="n">
        <f aca="false">IF(A26="",0,IF(COUNTIF($A$5:A26,A26)=1,1,0))</f>
        <v>0</v>
      </c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21"/>
      <c r="I27" s="20" t="str">
        <f aca="false">IF(OR($B27="",C27=""),"",COUNTIFS($B$5:$B$154,$B27,C$5:C$154,C27))</f>
        <v/>
      </c>
      <c r="J27" s="20" t="str">
        <f aca="false">IF(OR($B27="",D27=""),"",COUNTIFS($B$5:$B$154,$B27,D$5:D$154,D27))</f>
        <v/>
      </c>
      <c r="K27" s="20" t="str">
        <f aca="false">IF(OR($B27="",E27=""),"",COUNTIFS($B$5:$B$154,$B27,E$5:E$154,E27))</f>
        <v/>
      </c>
      <c r="L27" s="20" t="str">
        <f aca="false">IF(OR($B27="",F27=""),"",COUNTIFS($B$5:$B$154,$B27,F$5:F$154,F27))</f>
        <v/>
      </c>
      <c r="M27" s="20" t="str">
        <f aca="false">IF(OR($B27="",G27=""),"",COUNTIFS($B$5:$B$154,$B27,G$5:G$154,G27))</f>
        <v/>
      </c>
      <c r="N27" s="20" t="n">
        <f aca="false">IF(A27="",0,IF(COUNTIF($A$5:A27,A27)=1,1,0))</f>
        <v>0</v>
      </c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21"/>
      <c r="I28" s="20" t="str">
        <f aca="false">IF(OR($B28="",C28=""),"",COUNTIFS($B$5:$B$154,$B28,C$5:C$154,C28))</f>
        <v/>
      </c>
      <c r="J28" s="20" t="str">
        <f aca="false">IF(OR($B28="",D28=""),"",COUNTIFS($B$5:$B$154,$B28,D$5:D$154,D28))</f>
        <v/>
      </c>
      <c r="K28" s="20" t="str">
        <f aca="false">IF(OR($B28="",E28=""),"",COUNTIFS($B$5:$B$154,$B28,E$5:E$154,E28))</f>
        <v/>
      </c>
      <c r="L28" s="20" t="str">
        <f aca="false">IF(OR($B28="",F28=""),"",COUNTIFS($B$5:$B$154,$B28,F$5:F$154,F28))</f>
        <v/>
      </c>
      <c r="M28" s="20" t="str">
        <f aca="false">IF(OR($B28="",G28=""),"",COUNTIFS($B$5:$B$154,$B28,G$5:G$154,G28))</f>
        <v/>
      </c>
      <c r="N28" s="20" t="n">
        <f aca="false">IF(A28="",0,IF(COUNTIF($A$5:A28,A28)=1,1,0))</f>
        <v>0</v>
      </c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21"/>
      <c r="I29" s="20" t="str">
        <f aca="false">IF(OR($B29="",C29=""),"",COUNTIFS($B$5:$B$154,$B29,C$5:C$154,C29))</f>
        <v/>
      </c>
      <c r="J29" s="20" t="str">
        <f aca="false">IF(OR($B29="",D29=""),"",COUNTIFS($B$5:$B$154,$B29,D$5:D$154,D29))</f>
        <v/>
      </c>
      <c r="K29" s="20" t="str">
        <f aca="false">IF(OR($B29="",E29=""),"",COUNTIFS($B$5:$B$154,$B29,E$5:E$154,E29))</f>
        <v/>
      </c>
      <c r="L29" s="20" t="str">
        <f aca="false">IF(OR($B29="",F29=""),"",COUNTIFS($B$5:$B$154,$B29,F$5:F$154,F29))</f>
        <v/>
      </c>
      <c r="M29" s="20" t="str">
        <f aca="false">IF(OR($B29="",G29=""),"",COUNTIFS($B$5:$B$154,$B29,G$5:G$154,G29))</f>
        <v/>
      </c>
      <c r="N29" s="20" t="n">
        <f aca="false">IF(A29="",0,IF(COUNTIF($A$5:A29,A29)=1,1,0))</f>
        <v>0</v>
      </c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21"/>
      <c r="I30" s="20" t="str">
        <f aca="false">IF(OR($B30="",C30=""),"",COUNTIFS($B$5:$B$154,$B30,C$5:C$154,C30))</f>
        <v/>
      </c>
      <c r="J30" s="20" t="str">
        <f aca="false">IF(OR($B30="",D30=""),"",COUNTIFS($B$5:$B$154,$B30,D$5:D$154,D30))</f>
        <v/>
      </c>
      <c r="K30" s="20" t="str">
        <f aca="false">IF(OR($B30="",E30=""),"",COUNTIFS($B$5:$B$154,$B30,E$5:E$154,E30))</f>
        <v/>
      </c>
      <c r="L30" s="20" t="str">
        <f aca="false">IF(OR($B30="",F30=""),"",COUNTIFS($B$5:$B$154,$B30,F$5:F$154,F30))</f>
        <v/>
      </c>
      <c r="M30" s="20" t="str">
        <f aca="false">IF(OR($B30="",G30=""),"",COUNTIFS($B$5:$B$154,$B30,G$5:G$154,G30))</f>
        <v/>
      </c>
      <c r="N30" s="20" t="n">
        <f aca="false">IF(A30="",0,IF(COUNTIF($A$5:A30,A30)=1,1,0))</f>
        <v>0</v>
      </c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21"/>
      <c r="I31" s="20" t="str">
        <f aca="false">IF(OR($B31="",C31=""),"",COUNTIFS($B$5:$B$154,$B31,C$5:C$154,C31))</f>
        <v/>
      </c>
      <c r="J31" s="20" t="str">
        <f aca="false">IF(OR($B31="",D31=""),"",COUNTIFS($B$5:$B$154,$B31,D$5:D$154,D31))</f>
        <v/>
      </c>
      <c r="K31" s="20" t="str">
        <f aca="false">IF(OR($B31="",E31=""),"",COUNTIFS($B$5:$B$154,$B31,E$5:E$154,E31))</f>
        <v/>
      </c>
      <c r="L31" s="20" t="str">
        <f aca="false">IF(OR($B31="",F31=""),"",COUNTIFS($B$5:$B$154,$B31,F$5:F$154,F31))</f>
        <v/>
      </c>
      <c r="M31" s="20" t="str">
        <f aca="false">IF(OR($B31="",G31=""),"",COUNTIFS($B$5:$B$154,$B31,G$5:G$154,G31))</f>
        <v/>
      </c>
      <c r="N31" s="20" t="n">
        <f aca="false">IF(A31="",0,IF(COUNTIF($A$5:A31,A31)=1,1,0))</f>
        <v>0</v>
      </c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21"/>
      <c r="I32" s="20" t="str">
        <f aca="false">IF(OR($B32="",C32=""),"",COUNTIFS($B$5:$B$154,$B32,C$5:C$154,C32))</f>
        <v/>
      </c>
      <c r="J32" s="20" t="str">
        <f aca="false">IF(OR($B32="",D32=""),"",COUNTIFS($B$5:$B$154,$B32,D$5:D$154,D32))</f>
        <v/>
      </c>
      <c r="K32" s="20" t="str">
        <f aca="false">IF(OR($B32="",E32=""),"",COUNTIFS($B$5:$B$154,$B32,E$5:E$154,E32))</f>
        <v/>
      </c>
      <c r="L32" s="20" t="str">
        <f aca="false">IF(OR($B32="",F32=""),"",COUNTIFS($B$5:$B$154,$B32,F$5:F$154,F32))</f>
        <v/>
      </c>
      <c r="M32" s="20" t="str">
        <f aca="false">IF(OR($B32="",G32=""),"",COUNTIFS($B$5:$B$154,$B32,G$5:G$154,G32))</f>
        <v/>
      </c>
      <c r="N32" s="20" t="n">
        <f aca="false">IF(A32="",0,IF(COUNTIF($A$5:A32,A32)=1,1,0))</f>
        <v>0</v>
      </c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21"/>
      <c r="I33" s="20" t="str">
        <f aca="false">IF(OR($B33="",C33=""),"",COUNTIFS($B$5:$B$154,$B33,C$5:C$154,C33))</f>
        <v/>
      </c>
      <c r="J33" s="20" t="str">
        <f aca="false">IF(OR($B33="",D33=""),"",COUNTIFS($B$5:$B$154,$B33,D$5:D$154,D33))</f>
        <v/>
      </c>
      <c r="K33" s="20" t="str">
        <f aca="false">IF(OR($B33="",E33=""),"",COUNTIFS($B$5:$B$154,$B33,E$5:E$154,E33))</f>
        <v/>
      </c>
      <c r="L33" s="20" t="str">
        <f aca="false">IF(OR($B33="",F33=""),"",COUNTIFS($B$5:$B$154,$B33,F$5:F$154,F33))</f>
        <v/>
      </c>
      <c r="M33" s="20" t="str">
        <f aca="false">IF(OR($B33="",G33=""),"",COUNTIFS($B$5:$B$154,$B33,G$5:G$154,G33))</f>
        <v/>
      </c>
      <c r="N33" s="20" t="n">
        <f aca="false">IF(A33="",0,IF(COUNTIF($A$5:A33,A33)=1,1,0))</f>
        <v>0</v>
      </c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21"/>
      <c r="I34" s="20" t="str">
        <f aca="false">IF(OR($B34="",C34=""),"",COUNTIFS($B$5:$B$154,$B34,C$5:C$154,C34))</f>
        <v/>
      </c>
      <c r="J34" s="20" t="str">
        <f aca="false">IF(OR($B34="",D34=""),"",COUNTIFS($B$5:$B$154,$B34,D$5:D$154,D34))</f>
        <v/>
      </c>
      <c r="K34" s="20" t="str">
        <f aca="false">IF(OR($B34="",E34=""),"",COUNTIFS($B$5:$B$154,$B34,E$5:E$154,E34))</f>
        <v/>
      </c>
      <c r="L34" s="20" t="str">
        <f aca="false">IF(OR($B34="",F34=""),"",COUNTIFS($B$5:$B$154,$B34,F$5:F$154,F34))</f>
        <v/>
      </c>
      <c r="M34" s="20" t="str">
        <f aca="false">IF(OR($B34="",G34=""),"",COUNTIFS($B$5:$B$154,$B34,G$5:G$154,G34))</f>
        <v/>
      </c>
      <c r="N34" s="20" t="n">
        <f aca="false">IF(A34="",0,IF(COUNTIF($A$5:A34,A34)=1,1,0))</f>
        <v>0</v>
      </c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21"/>
      <c r="I35" s="20" t="str">
        <f aca="false">IF(OR($B35="",C35=""),"",COUNTIFS($B$5:$B$154,$B35,C$5:C$154,C35))</f>
        <v/>
      </c>
      <c r="J35" s="20" t="str">
        <f aca="false">IF(OR($B35="",D35=""),"",COUNTIFS($B$5:$B$154,$B35,D$5:D$154,D35))</f>
        <v/>
      </c>
      <c r="K35" s="20" t="str">
        <f aca="false">IF(OR($B35="",E35=""),"",COUNTIFS($B$5:$B$154,$B35,E$5:E$154,E35))</f>
        <v/>
      </c>
      <c r="L35" s="20" t="str">
        <f aca="false">IF(OR($B35="",F35=""),"",COUNTIFS($B$5:$B$154,$B35,F$5:F$154,F35))</f>
        <v/>
      </c>
      <c r="M35" s="20" t="str">
        <f aca="false">IF(OR($B35="",G35=""),"",COUNTIFS($B$5:$B$154,$B35,G$5:G$154,G35))</f>
        <v/>
      </c>
      <c r="N35" s="20" t="n">
        <f aca="false">IF(A35="",0,IF(COUNTIF($A$5:A35,A35)=1,1,0))</f>
        <v>0</v>
      </c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21"/>
      <c r="I36" s="20" t="str">
        <f aca="false">IF(OR($B36="",C36=""),"",COUNTIFS($B$5:$B$154,$B36,C$5:C$154,C36))</f>
        <v/>
      </c>
      <c r="J36" s="20" t="str">
        <f aca="false">IF(OR($B36="",D36=""),"",COUNTIFS($B$5:$B$154,$B36,D$5:D$154,D36))</f>
        <v/>
      </c>
      <c r="K36" s="20" t="str">
        <f aca="false">IF(OR($B36="",E36=""),"",COUNTIFS($B$5:$B$154,$B36,E$5:E$154,E36))</f>
        <v/>
      </c>
      <c r="L36" s="20" t="str">
        <f aca="false">IF(OR($B36="",F36=""),"",COUNTIFS($B$5:$B$154,$B36,F$5:F$154,F36))</f>
        <v/>
      </c>
      <c r="M36" s="20" t="str">
        <f aca="false">IF(OR($B36="",G36=""),"",COUNTIFS($B$5:$B$154,$B36,G$5:G$154,G36))</f>
        <v/>
      </c>
      <c r="N36" s="20" t="n">
        <f aca="false">IF(A36="",0,IF(COUNTIF($A$5:A36,A36)=1,1,0))</f>
        <v>0</v>
      </c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2"/>
      <c r="H37" s="21"/>
      <c r="I37" s="20" t="str">
        <f aca="false">IF(OR($B37="",C37=""),"",COUNTIFS($B$5:$B$154,$B37,C$5:C$154,C37))</f>
        <v/>
      </c>
      <c r="J37" s="20" t="str">
        <f aca="false">IF(OR($B37="",D37=""),"",COUNTIFS($B$5:$B$154,$B37,D$5:D$154,D37))</f>
        <v/>
      </c>
      <c r="K37" s="20" t="str">
        <f aca="false">IF(OR($B37="",E37=""),"",COUNTIFS($B$5:$B$154,$B37,E$5:E$154,E37))</f>
        <v/>
      </c>
      <c r="L37" s="20" t="str">
        <f aca="false">IF(OR($B37="",F37=""),"",COUNTIFS($B$5:$B$154,$B37,F$5:F$154,F37))</f>
        <v/>
      </c>
      <c r="M37" s="20" t="str">
        <f aca="false">IF(OR($B37="",G37=""),"",COUNTIFS($B$5:$B$154,$B37,G$5:G$154,G37))</f>
        <v/>
      </c>
      <c r="N37" s="20" t="n">
        <f aca="false">IF(A37="",0,IF(COUNTIF($A$5:A37,A37)=1,1,0))</f>
        <v>0</v>
      </c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2"/>
      <c r="H38" s="21"/>
      <c r="I38" s="20" t="str">
        <f aca="false">IF(OR($B38="",C38=""),"",COUNTIFS($B$5:$B$154,$B38,C$5:C$154,C38))</f>
        <v/>
      </c>
      <c r="J38" s="20" t="str">
        <f aca="false">IF(OR($B38="",D38=""),"",COUNTIFS($B$5:$B$154,$B38,D$5:D$154,D38))</f>
        <v/>
      </c>
      <c r="K38" s="20" t="str">
        <f aca="false">IF(OR($B38="",E38=""),"",COUNTIFS($B$5:$B$154,$B38,E$5:E$154,E38))</f>
        <v/>
      </c>
      <c r="L38" s="20" t="str">
        <f aca="false">IF(OR($B38="",F38=""),"",COUNTIFS($B$5:$B$154,$B38,F$5:F$154,F38))</f>
        <v/>
      </c>
      <c r="M38" s="20" t="str">
        <f aca="false">IF(OR($B38="",G38=""),"",COUNTIFS($B$5:$B$154,$B38,G$5:G$154,G38))</f>
        <v/>
      </c>
      <c r="N38" s="20" t="n">
        <f aca="false">IF(A38="",0,IF(COUNTIF($A$5:A38,A38)=1,1,0))</f>
        <v>0</v>
      </c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2"/>
      <c r="H39" s="21"/>
      <c r="I39" s="20" t="str">
        <f aca="false">IF(OR($B39="",C39=""),"",COUNTIFS($B$5:$B$154,$B39,C$5:C$154,C39))</f>
        <v/>
      </c>
      <c r="J39" s="20" t="str">
        <f aca="false">IF(OR($B39="",D39=""),"",COUNTIFS($B$5:$B$154,$B39,D$5:D$154,D39))</f>
        <v/>
      </c>
      <c r="K39" s="20" t="str">
        <f aca="false">IF(OR($B39="",E39=""),"",COUNTIFS($B$5:$B$154,$B39,E$5:E$154,E39))</f>
        <v/>
      </c>
      <c r="L39" s="20" t="str">
        <f aca="false">IF(OR($B39="",F39=""),"",COUNTIFS($B$5:$B$154,$B39,F$5:F$154,F39))</f>
        <v/>
      </c>
      <c r="M39" s="20" t="str">
        <f aca="false">IF(OR($B39="",G39=""),"",COUNTIFS($B$5:$B$154,$B39,G$5:G$154,G39))</f>
        <v/>
      </c>
      <c r="N39" s="20" t="n">
        <f aca="false">IF(A39="",0,IF(COUNTIF($A$5:A39,A39)=1,1,0))</f>
        <v>0</v>
      </c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2"/>
      <c r="H40" s="21"/>
      <c r="I40" s="20" t="str">
        <f aca="false">IF(OR($B40="",C40=""),"",COUNTIFS($B$5:$B$154,$B40,C$5:C$154,C40))</f>
        <v/>
      </c>
      <c r="J40" s="20" t="str">
        <f aca="false">IF(OR($B40="",D40=""),"",COUNTIFS($B$5:$B$154,$B40,D$5:D$154,D40))</f>
        <v/>
      </c>
      <c r="K40" s="20" t="str">
        <f aca="false">IF(OR($B40="",E40=""),"",COUNTIFS($B$5:$B$154,$B40,E$5:E$154,E40))</f>
        <v/>
      </c>
      <c r="L40" s="20" t="str">
        <f aca="false">IF(OR($B40="",F40=""),"",COUNTIFS($B$5:$B$154,$B40,F$5:F$154,F40))</f>
        <v/>
      </c>
      <c r="M40" s="20" t="str">
        <f aca="false">IF(OR($B40="",G40=""),"",COUNTIFS($B$5:$B$154,$B40,G$5:G$154,G40))</f>
        <v/>
      </c>
      <c r="N40" s="20" t="n">
        <f aca="false">IF(A40="",0,IF(COUNTIF($A$5:A40,A40)=1,1,0))</f>
        <v>0</v>
      </c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2"/>
      <c r="H41" s="21"/>
      <c r="I41" s="20" t="str">
        <f aca="false">IF(OR($B41="",C41=""),"",COUNTIFS($B$5:$B$154,$B41,C$5:C$154,C41))</f>
        <v/>
      </c>
      <c r="J41" s="20" t="str">
        <f aca="false">IF(OR($B41="",D41=""),"",COUNTIFS($B$5:$B$154,$B41,D$5:D$154,D41))</f>
        <v/>
      </c>
      <c r="K41" s="20" t="str">
        <f aca="false">IF(OR($B41="",E41=""),"",COUNTIFS($B$5:$B$154,$B41,E$5:E$154,E41))</f>
        <v/>
      </c>
      <c r="L41" s="20" t="str">
        <f aca="false">IF(OR($B41="",F41=""),"",COUNTIFS($B$5:$B$154,$B41,F$5:F$154,F41))</f>
        <v/>
      </c>
      <c r="M41" s="20" t="str">
        <f aca="false">IF(OR($B41="",G41=""),"",COUNTIFS($B$5:$B$154,$B41,G$5:G$154,G41))</f>
        <v/>
      </c>
      <c r="N41" s="20" t="n">
        <f aca="false">IF(A41="",0,IF(COUNTIF($A$5:A41,A41)=1,1,0))</f>
        <v>0</v>
      </c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2"/>
      <c r="H42" s="21"/>
      <c r="I42" s="20" t="str">
        <f aca="false">IF(OR($B42="",C42=""),"",COUNTIFS($B$5:$B$154,$B42,C$5:C$154,C42))</f>
        <v/>
      </c>
      <c r="J42" s="20" t="str">
        <f aca="false">IF(OR($B42="",D42=""),"",COUNTIFS($B$5:$B$154,$B42,D$5:D$154,D42))</f>
        <v/>
      </c>
      <c r="K42" s="20" t="str">
        <f aca="false">IF(OR($B42="",E42=""),"",COUNTIFS($B$5:$B$154,$B42,E$5:E$154,E42))</f>
        <v/>
      </c>
      <c r="L42" s="20" t="str">
        <f aca="false">IF(OR($B42="",F42=""),"",COUNTIFS($B$5:$B$154,$B42,F$5:F$154,F42))</f>
        <v/>
      </c>
      <c r="M42" s="20" t="str">
        <f aca="false">IF(OR($B42="",G42=""),"",COUNTIFS($B$5:$B$154,$B42,G$5:G$154,G42))</f>
        <v/>
      </c>
      <c r="N42" s="20" t="n">
        <f aca="false">IF(A42="",0,IF(COUNTIF($A$5:A42,A42)=1,1,0))</f>
        <v>0</v>
      </c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2"/>
      <c r="H43" s="21"/>
      <c r="I43" s="20" t="str">
        <f aca="false">IF(OR($B43="",C43=""),"",COUNTIFS($B$5:$B$154,$B43,C$5:C$154,C43))</f>
        <v/>
      </c>
      <c r="J43" s="20" t="str">
        <f aca="false">IF(OR($B43="",D43=""),"",COUNTIFS($B$5:$B$154,$B43,D$5:D$154,D43))</f>
        <v/>
      </c>
      <c r="K43" s="20" t="str">
        <f aca="false">IF(OR($B43="",E43=""),"",COUNTIFS($B$5:$B$154,$B43,E$5:E$154,E43))</f>
        <v/>
      </c>
      <c r="L43" s="20" t="str">
        <f aca="false">IF(OR($B43="",F43=""),"",COUNTIFS($B$5:$B$154,$B43,F$5:F$154,F43))</f>
        <v/>
      </c>
      <c r="M43" s="20" t="str">
        <f aca="false">IF(OR($B43="",G43=""),"",COUNTIFS($B$5:$B$154,$B43,G$5:G$154,G43))</f>
        <v/>
      </c>
      <c r="N43" s="20" t="n">
        <f aca="false">IF(A43="",0,IF(COUNTIF($A$5:A43,A43)=1,1,0))</f>
        <v>0</v>
      </c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2"/>
      <c r="H44" s="21"/>
      <c r="I44" s="20" t="str">
        <f aca="false">IF(OR($B44="",C44=""),"",COUNTIFS($B$5:$B$154,$B44,C$5:C$154,C44))</f>
        <v/>
      </c>
      <c r="J44" s="20" t="str">
        <f aca="false">IF(OR($B44="",D44=""),"",COUNTIFS($B$5:$B$154,$B44,D$5:D$154,D44))</f>
        <v/>
      </c>
      <c r="K44" s="20" t="str">
        <f aca="false">IF(OR($B44="",E44=""),"",COUNTIFS($B$5:$B$154,$B44,E$5:E$154,E44))</f>
        <v/>
      </c>
      <c r="L44" s="20" t="str">
        <f aca="false">IF(OR($B44="",F44=""),"",COUNTIFS($B$5:$B$154,$B44,F$5:F$154,F44))</f>
        <v/>
      </c>
      <c r="M44" s="20" t="str">
        <f aca="false">IF(OR($B44="",G44=""),"",COUNTIFS($B$5:$B$154,$B44,G$5:G$154,G44))</f>
        <v/>
      </c>
      <c r="N44" s="20" t="n">
        <f aca="false">IF(A44="",0,IF(COUNTIF($A$5:A44,A44)=1,1,0))</f>
        <v>0</v>
      </c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2"/>
      <c r="H45" s="21"/>
      <c r="I45" s="20" t="str">
        <f aca="false">IF(OR($B45="",C45=""),"",COUNTIFS($B$5:$B$154,$B45,C$5:C$154,C45))</f>
        <v/>
      </c>
      <c r="J45" s="20" t="str">
        <f aca="false">IF(OR($B45="",D45=""),"",COUNTIFS($B$5:$B$154,$B45,D$5:D$154,D45))</f>
        <v/>
      </c>
      <c r="K45" s="20" t="str">
        <f aca="false">IF(OR($B45="",E45=""),"",COUNTIFS($B$5:$B$154,$B45,E$5:E$154,E45))</f>
        <v/>
      </c>
      <c r="L45" s="20" t="str">
        <f aca="false">IF(OR($B45="",F45=""),"",COUNTIFS($B$5:$B$154,$B45,F$5:F$154,F45))</f>
        <v/>
      </c>
      <c r="M45" s="20" t="str">
        <f aca="false">IF(OR($B45="",G45=""),"",COUNTIFS($B$5:$B$154,$B45,G$5:G$154,G45))</f>
        <v/>
      </c>
      <c r="N45" s="20" t="n">
        <f aca="false">IF(A45="",0,IF(COUNTIF($A$5:A45,A45)=1,1,0))</f>
        <v>0</v>
      </c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2"/>
      <c r="H46" s="21"/>
      <c r="I46" s="20" t="str">
        <f aca="false">IF(OR($B46="",C46=""),"",COUNTIFS($B$5:$B$154,$B46,C$5:C$154,C46))</f>
        <v/>
      </c>
      <c r="J46" s="20" t="str">
        <f aca="false">IF(OR($B46="",D46=""),"",COUNTIFS($B$5:$B$154,$B46,D$5:D$154,D46))</f>
        <v/>
      </c>
      <c r="K46" s="20" t="str">
        <f aca="false">IF(OR($B46="",E46=""),"",COUNTIFS($B$5:$B$154,$B46,E$5:E$154,E46))</f>
        <v/>
      </c>
      <c r="L46" s="20" t="str">
        <f aca="false">IF(OR($B46="",F46=""),"",COUNTIFS($B$5:$B$154,$B46,F$5:F$154,F46))</f>
        <v/>
      </c>
      <c r="M46" s="20" t="str">
        <f aca="false">IF(OR($B46="",G46=""),"",COUNTIFS($B$5:$B$154,$B46,G$5:G$154,G46))</f>
        <v/>
      </c>
      <c r="N46" s="20" t="n">
        <f aca="false">IF(A46="",0,IF(COUNTIF($A$5:A46,A46)=1,1,0))</f>
        <v>0</v>
      </c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2"/>
      <c r="H47" s="21"/>
      <c r="I47" s="20" t="str">
        <f aca="false">IF(OR($B47="",C47=""),"",COUNTIFS($B$5:$B$154,$B47,C$5:C$154,C47))</f>
        <v/>
      </c>
      <c r="J47" s="20" t="str">
        <f aca="false">IF(OR($B47="",D47=""),"",COUNTIFS($B$5:$B$154,$B47,D$5:D$154,D47))</f>
        <v/>
      </c>
      <c r="K47" s="20" t="str">
        <f aca="false">IF(OR($B47="",E47=""),"",COUNTIFS($B$5:$B$154,$B47,E$5:E$154,E47))</f>
        <v/>
      </c>
      <c r="L47" s="20" t="str">
        <f aca="false">IF(OR($B47="",F47=""),"",COUNTIFS($B$5:$B$154,$B47,F$5:F$154,F47))</f>
        <v/>
      </c>
      <c r="M47" s="20" t="str">
        <f aca="false">IF(OR($B47="",G47=""),"",COUNTIFS($B$5:$B$154,$B47,G$5:G$154,G47))</f>
        <v/>
      </c>
      <c r="N47" s="20" t="n">
        <f aca="false">IF(A47="",0,IF(COUNTIF($A$5:A47,A47)=1,1,0))</f>
        <v>0</v>
      </c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2"/>
      <c r="H48" s="21"/>
      <c r="I48" s="20" t="str">
        <f aca="false">IF(OR($B48="",C48=""),"",COUNTIFS($B$5:$B$154,$B48,C$5:C$154,C48))</f>
        <v/>
      </c>
      <c r="J48" s="20" t="str">
        <f aca="false">IF(OR($B48="",D48=""),"",COUNTIFS($B$5:$B$154,$B48,D$5:D$154,D48))</f>
        <v/>
      </c>
      <c r="K48" s="20" t="str">
        <f aca="false">IF(OR($B48="",E48=""),"",COUNTIFS($B$5:$B$154,$B48,E$5:E$154,E48))</f>
        <v/>
      </c>
      <c r="L48" s="20" t="str">
        <f aca="false">IF(OR($B48="",F48=""),"",COUNTIFS($B$5:$B$154,$B48,F$5:F$154,F48))</f>
        <v/>
      </c>
      <c r="M48" s="20" t="str">
        <f aca="false">IF(OR($B48="",G48=""),"",COUNTIFS($B$5:$B$154,$B48,G$5:G$154,G48))</f>
        <v/>
      </c>
      <c r="N48" s="20" t="n">
        <f aca="false">IF(A48="",0,IF(COUNTIF($A$5:A48,A48)=1,1,0))</f>
        <v>0</v>
      </c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2"/>
      <c r="H49" s="21"/>
      <c r="I49" s="20" t="str">
        <f aca="false">IF(OR($B49="",C49=""),"",COUNTIFS($B$5:$B$154,$B49,C$5:C$154,C49))</f>
        <v/>
      </c>
      <c r="J49" s="20" t="str">
        <f aca="false">IF(OR($B49="",D49=""),"",COUNTIFS($B$5:$B$154,$B49,D$5:D$154,D49))</f>
        <v/>
      </c>
      <c r="K49" s="20" t="str">
        <f aca="false">IF(OR($B49="",E49=""),"",COUNTIFS($B$5:$B$154,$B49,E$5:E$154,E49))</f>
        <v/>
      </c>
      <c r="L49" s="20" t="str">
        <f aca="false">IF(OR($B49="",F49=""),"",COUNTIFS($B$5:$B$154,$B49,F$5:F$154,F49))</f>
        <v/>
      </c>
      <c r="M49" s="20" t="str">
        <f aca="false">IF(OR($B49="",G49=""),"",COUNTIFS($B$5:$B$154,$B49,G$5:G$154,G49))</f>
        <v/>
      </c>
      <c r="N49" s="20" t="n">
        <f aca="false">IF(A49="",0,IF(COUNTIF($A$5:A49,A49)=1,1,0))</f>
        <v>0</v>
      </c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2"/>
      <c r="H50" s="21"/>
      <c r="I50" s="20" t="str">
        <f aca="false">IF(OR($B50="",C50=""),"",COUNTIFS($B$5:$B$154,$B50,C$5:C$154,C50))</f>
        <v/>
      </c>
      <c r="J50" s="20" t="str">
        <f aca="false">IF(OR($B50="",D50=""),"",COUNTIFS($B$5:$B$154,$B50,D$5:D$154,D50))</f>
        <v/>
      </c>
      <c r="K50" s="20" t="str">
        <f aca="false">IF(OR($B50="",E50=""),"",COUNTIFS($B$5:$B$154,$B50,E$5:E$154,E50))</f>
        <v/>
      </c>
      <c r="L50" s="20" t="str">
        <f aca="false">IF(OR($B50="",F50=""),"",COUNTIFS($B$5:$B$154,$B50,F$5:F$154,F50))</f>
        <v/>
      </c>
      <c r="M50" s="20" t="str">
        <f aca="false">IF(OR($B50="",G50=""),"",COUNTIFS($B$5:$B$154,$B50,G$5:G$154,G50))</f>
        <v/>
      </c>
      <c r="N50" s="20" t="n">
        <f aca="false">IF(A50="",0,IF(COUNTIF($A$5:A50,A50)=1,1,0))</f>
        <v>0</v>
      </c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2"/>
      <c r="H51" s="21"/>
      <c r="I51" s="20" t="str">
        <f aca="false">IF(OR($B51="",C51=""),"",COUNTIFS($B$5:$B$154,$B51,C$5:C$154,C51))</f>
        <v/>
      </c>
      <c r="J51" s="20" t="str">
        <f aca="false">IF(OR($B51="",D51=""),"",COUNTIFS($B$5:$B$154,$B51,D$5:D$154,D51))</f>
        <v/>
      </c>
      <c r="K51" s="20" t="str">
        <f aca="false">IF(OR($B51="",E51=""),"",COUNTIFS($B$5:$B$154,$B51,E$5:E$154,E51))</f>
        <v/>
      </c>
      <c r="L51" s="20" t="str">
        <f aca="false">IF(OR($B51="",F51=""),"",COUNTIFS($B$5:$B$154,$B51,F$5:F$154,F51))</f>
        <v/>
      </c>
      <c r="M51" s="20" t="str">
        <f aca="false">IF(OR($B51="",G51=""),"",COUNTIFS($B$5:$B$154,$B51,G$5:G$154,G51))</f>
        <v/>
      </c>
      <c r="N51" s="20" t="n">
        <f aca="false">IF(A51="",0,IF(COUNTIF($A$5:A51,A51)=1,1,0))</f>
        <v>0</v>
      </c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2"/>
      <c r="H52" s="21"/>
      <c r="I52" s="20" t="str">
        <f aca="false">IF(OR($B52="",C52=""),"",COUNTIFS($B$5:$B$154,$B52,C$5:C$154,C52))</f>
        <v/>
      </c>
      <c r="J52" s="20" t="str">
        <f aca="false">IF(OR($B52="",D52=""),"",COUNTIFS($B$5:$B$154,$B52,D$5:D$154,D52))</f>
        <v/>
      </c>
      <c r="K52" s="20" t="str">
        <f aca="false">IF(OR($B52="",E52=""),"",COUNTIFS($B$5:$B$154,$B52,E$5:E$154,E52))</f>
        <v/>
      </c>
      <c r="L52" s="20" t="str">
        <f aca="false">IF(OR($B52="",F52=""),"",COUNTIFS($B$5:$B$154,$B52,F$5:F$154,F52))</f>
        <v/>
      </c>
      <c r="M52" s="20" t="str">
        <f aca="false">IF(OR($B52="",G52=""),"",COUNTIFS($B$5:$B$154,$B52,G$5:G$154,G52))</f>
        <v/>
      </c>
      <c r="N52" s="20" t="n">
        <f aca="false">IF(A52="",0,IF(COUNTIF($A$5:A52,A52)=1,1,0))</f>
        <v>0</v>
      </c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2"/>
      <c r="H53" s="21"/>
      <c r="I53" s="20" t="str">
        <f aca="false">IF(OR($B53="",C53=""),"",COUNTIFS($B$5:$B$154,$B53,C$5:C$154,C53))</f>
        <v/>
      </c>
      <c r="J53" s="20" t="str">
        <f aca="false">IF(OR($B53="",D53=""),"",COUNTIFS($B$5:$B$154,$B53,D$5:D$154,D53))</f>
        <v/>
      </c>
      <c r="K53" s="20" t="str">
        <f aca="false">IF(OR($B53="",E53=""),"",COUNTIFS($B$5:$B$154,$B53,E$5:E$154,E53))</f>
        <v/>
      </c>
      <c r="L53" s="20" t="str">
        <f aca="false">IF(OR($B53="",F53=""),"",COUNTIFS($B$5:$B$154,$B53,F$5:F$154,F53))</f>
        <v/>
      </c>
      <c r="M53" s="20" t="str">
        <f aca="false">IF(OR($B53="",G53=""),"",COUNTIFS($B$5:$B$154,$B53,G$5:G$154,G53))</f>
        <v/>
      </c>
      <c r="N53" s="20" t="n">
        <f aca="false">IF(A53="",0,IF(COUNTIF($A$5:A53,A53)=1,1,0))</f>
        <v>0</v>
      </c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2"/>
      <c r="H54" s="21"/>
      <c r="I54" s="20" t="str">
        <f aca="false">IF(OR($B54="",C54=""),"",COUNTIFS($B$5:$B$154,$B54,C$5:C$154,C54))</f>
        <v/>
      </c>
      <c r="J54" s="20" t="str">
        <f aca="false">IF(OR($B54="",D54=""),"",COUNTIFS($B$5:$B$154,$B54,D$5:D$154,D54))</f>
        <v/>
      </c>
      <c r="K54" s="20" t="str">
        <f aca="false">IF(OR($B54="",E54=""),"",COUNTIFS($B$5:$B$154,$B54,E$5:E$154,E54))</f>
        <v/>
      </c>
      <c r="L54" s="20" t="str">
        <f aca="false">IF(OR($B54="",F54=""),"",COUNTIFS($B$5:$B$154,$B54,F$5:F$154,F54))</f>
        <v/>
      </c>
      <c r="M54" s="20" t="str">
        <f aca="false">IF(OR($B54="",G54=""),"",COUNTIFS($B$5:$B$154,$B54,G$5:G$154,G54))</f>
        <v/>
      </c>
      <c r="N54" s="20" t="n">
        <f aca="false">IF(A54="",0,IF(COUNTIF($A$5:A54,A54)=1,1,0))</f>
        <v>0</v>
      </c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2"/>
      <c r="H55" s="21"/>
      <c r="I55" s="20" t="str">
        <f aca="false">IF(OR($B55="",C55=""),"",COUNTIFS($B$5:$B$154,$B55,C$5:C$154,C55))</f>
        <v/>
      </c>
      <c r="J55" s="20" t="str">
        <f aca="false">IF(OR($B55="",D55=""),"",COUNTIFS($B$5:$B$154,$B55,D$5:D$154,D55))</f>
        <v/>
      </c>
      <c r="K55" s="20" t="str">
        <f aca="false">IF(OR($B55="",E55=""),"",COUNTIFS($B$5:$B$154,$B55,E$5:E$154,E55))</f>
        <v/>
      </c>
      <c r="L55" s="20" t="str">
        <f aca="false">IF(OR($B55="",F55=""),"",COUNTIFS($B$5:$B$154,$B55,F$5:F$154,F55))</f>
        <v/>
      </c>
      <c r="M55" s="20" t="str">
        <f aca="false">IF(OR($B55="",G55=""),"",COUNTIFS($B$5:$B$154,$B55,G$5:G$154,G55))</f>
        <v/>
      </c>
      <c r="N55" s="20" t="n">
        <f aca="false">IF(A55="",0,IF(COUNTIF($A$5:A55,A55)=1,1,0))</f>
        <v>0</v>
      </c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2"/>
      <c r="H56" s="21"/>
      <c r="I56" s="20" t="str">
        <f aca="false">IF(OR($B56="",C56=""),"",COUNTIFS($B$5:$B$154,$B56,C$5:C$154,C56))</f>
        <v/>
      </c>
      <c r="J56" s="20" t="str">
        <f aca="false">IF(OR($B56="",D56=""),"",COUNTIFS($B$5:$B$154,$B56,D$5:D$154,D56))</f>
        <v/>
      </c>
      <c r="K56" s="20" t="str">
        <f aca="false">IF(OR($B56="",E56=""),"",COUNTIFS($B$5:$B$154,$B56,E$5:E$154,E56))</f>
        <v/>
      </c>
      <c r="L56" s="20" t="str">
        <f aca="false">IF(OR($B56="",F56=""),"",COUNTIFS($B$5:$B$154,$B56,F$5:F$154,F56))</f>
        <v/>
      </c>
      <c r="M56" s="20" t="str">
        <f aca="false">IF(OR($B56="",G56=""),"",COUNTIFS($B$5:$B$154,$B56,G$5:G$154,G56))</f>
        <v/>
      </c>
      <c r="N56" s="20" t="n">
        <f aca="false">IF(A56="",0,IF(COUNTIF($A$5:A56,A56)=1,1,0))</f>
        <v>0</v>
      </c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2"/>
      <c r="H57" s="21"/>
      <c r="I57" s="20" t="str">
        <f aca="false">IF(OR($B57="",C57=""),"",COUNTIFS($B$5:$B$154,$B57,C$5:C$154,C57))</f>
        <v/>
      </c>
      <c r="J57" s="20" t="str">
        <f aca="false">IF(OR($B57="",D57=""),"",COUNTIFS($B$5:$B$154,$B57,D$5:D$154,D57))</f>
        <v/>
      </c>
      <c r="K57" s="20" t="str">
        <f aca="false">IF(OR($B57="",E57=""),"",COUNTIFS($B$5:$B$154,$B57,E$5:E$154,E57))</f>
        <v/>
      </c>
      <c r="L57" s="20" t="str">
        <f aca="false">IF(OR($B57="",F57=""),"",COUNTIFS($B$5:$B$154,$B57,F$5:F$154,F57))</f>
        <v/>
      </c>
      <c r="M57" s="20" t="str">
        <f aca="false">IF(OR($B57="",G57=""),"",COUNTIFS($B$5:$B$154,$B57,G$5:G$154,G57))</f>
        <v/>
      </c>
      <c r="N57" s="20" t="n">
        <f aca="false">IF(A57="",0,IF(COUNTIF($A$5:A57,A57)=1,1,0))</f>
        <v>0</v>
      </c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2"/>
      <c r="H58" s="21"/>
      <c r="I58" s="20" t="str">
        <f aca="false">IF(OR($B58="",C58=""),"",COUNTIFS($B$5:$B$154,$B58,C$5:C$154,C58))</f>
        <v/>
      </c>
      <c r="J58" s="20" t="str">
        <f aca="false">IF(OR($B58="",D58=""),"",COUNTIFS($B$5:$B$154,$B58,D$5:D$154,D58))</f>
        <v/>
      </c>
      <c r="K58" s="20" t="str">
        <f aca="false">IF(OR($B58="",E58=""),"",COUNTIFS($B$5:$B$154,$B58,E$5:E$154,E58))</f>
        <v/>
      </c>
      <c r="L58" s="20" t="str">
        <f aca="false">IF(OR($B58="",F58=""),"",COUNTIFS($B$5:$B$154,$B58,F$5:F$154,F58))</f>
        <v/>
      </c>
      <c r="M58" s="20" t="str">
        <f aca="false">IF(OR($B58="",G58=""),"",COUNTIFS($B$5:$B$154,$B58,G$5:G$154,G58))</f>
        <v/>
      </c>
      <c r="N58" s="20" t="n">
        <f aca="false">IF(A58="",0,IF(COUNTIF($A$5:A58,A58)=1,1,0))</f>
        <v>0</v>
      </c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2"/>
      <c r="H59" s="21"/>
      <c r="I59" s="20" t="str">
        <f aca="false">IF(OR($B59="",C59=""),"",COUNTIFS($B$5:$B$154,$B59,C$5:C$154,C59))</f>
        <v/>
      </c>
      <c r="J59" s="20" t="str">
        <f aca="false">IF(OR($B59="",D59=""),"",COUNTIFS($B$5:$B$154,$B59,D$5:D$154,D59))</f>
        <v/>
      </c>
      <c r="K59" s="20" t="str">
        <f aca="false">IF(OR($B59="",E59=""),"",COUNTIFS($B$5:$B$154,$B59,E$5:E$154,E59))</f>
        <v/>
      </c>
      <c r="L59" s="20" t="str">
        <f aca="false">IF(OR($B59="",F59=""),"",COUNTIFS($B$5:$B$154,$B59,F$5:F$154,F59))</f>
        <v/>
      </c>
      <c r="M59" s="20" t="str">
        <f aca="false">IF(OR($B59="",G59=""),"",COUNTIFS($B$5:$B$154,$B59,G$5:G$154,G59))</f>
        <v/>
      </c>
      <c r="N59" s="20" t="n">
        <f aca="false">IF(A59="",0,IF(COUNTIF($A$5:A59,A59)=1,1,0))</f>
        <v>0</v>
      </c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2"/>
      <c r="H60" s="21"/>
      <c r="I60" s="20" t="str">
        <f aca="false">IF(OR($B60="",C60=""),"",COUNTIFS($B$5:$B$154,$B60,C$5:C$154,C60))</f>
        <v/>
      </c>
      <c r="J60" s="20" t="str">
        <f aca="false">IF(OR($B60="",D60=""),"",COUNTIFS($B$5:$B$154,$B60,D$5:D$154,D60))</f>
        <v/>
      </c>
      <c r="K60" s="20" t="str">
        <f aca="false">IF(OR($B60="",E60=""),"",COUNTIFS($B$5:$B$154,$B60,E$5:E$154,E60))</f>
        <v/>
      </c>
      <c r="L60" s="20" t="str">
        <f aca="false">IF(OR($B60="",F60=""),"",COUNTIFS($B$5:$B$154,$B60,F$5:F$154,F60))</f>
        <v/>
      </c>
      <c r="M60" s="20" t="str">
        <f aca="false">IF(OR($B60="",G60=""),"",COUNTIFS($B$5:$B$154,$B60,G$5:G$154,G60))</f>
        <v/>
      </c>
      <c r="N60" s="20" t="n">
        <f aca="false">IF(A60="",0,IF(COUNTIF($A$5:A60,A60)=1,1,0))</f>
        <v>0</v>
      </c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2"/>
      <c r="G61" s="12"/>
      <c r="H61" s="21"/>
      <c r="I61" s="20" t="str">
        <f aca="false">IF(OR($B61="",C61=""),"",COUNTIFS($B$5:$B$154,$B61,C$5:C$154,C61))</f>
        <v/>
      </c>
      <c r="J61" s="20" t="str">
        <f aca="false">IF(OR($B61="",D61=""),"",COUNTIFS($B$5:$B$154,$B61,D$5:D$154,D61))</f>
        <v/>
      </c>
      <c r="K61" s="20" t="str">
        <f aca="false">IF(OR($B61="",E61=""),"",COUNTIFS($B$5:$B$154,$B61,E$5:E$154,E61))</f>
        <v/>
      </c>
      <c r="L61" s="20" t="str">
        <f aca="false">IF(OR($B61="",F61=""),"",COUNTIFS($B$5:$B$154,$B61,F$5:F$154,F61))</f>
        <v/>
      </c>
      <c r="M61" s="20" t="str">
        <f aca="false">IF(OR($B61="",G61=""),"",COUNTIFS($B$5:$B$154,$B61,G$5:G$154,G61))</f>
        <v/>
      </c>
      <c r="N61" s="20" t="n">
        <f aca="false">IF(A61="",0,IF(COUNTIF($A$5:A61,A61)=1,1,0))</f>
        <v>0</v>
      </c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2"/>
      <c r="G62" s="12"/>
      <c r="H62" s="21"/>
      <c r="I62" s="20" t="str">
        <f aca="false">IF(OR($B62="",C62=""),"",COUNTIFS($B$5:$B$154,$B62,C$5:C$154,C62))</f>
        <v/>
      </c>
      <c r="J62" s="20" t="str">
        <f aca="false">IF(OR($B62="",D62=""),"",COUNTIFS($B$5:$B$154,$B62,D$5:D$154,D62))</f>
        <v/>
      </c>
      <c r="K62" s="20" t="str">
        <f aca="false">IF(OR($B62="",E62=""),"",COUNTIFS($B$5:$B$154,$B62,E$5:E$154,E62))</f>
        <v/>
      </c>
      <c r="L62" s="20" t="str">
        <f aca="false">IF(OR($B62="",F62=""),"",COUNTIFS($B$5:$B$154,$B62,F$5:F$154,F62))</f>
        <v/>
      </c>
      <c r="M62" s="20" t="str">
        <f aca="false">IF(OR($B62="",G62=""),"",COUNTIFS($B$5:$B$154,$B62,G$5:G$154,G62))</f>
        <v/>
      </c>
      <c r="N62" s="20" t="n">
        <f aca="false">IF(A62="",0,IF(COUNTIF($A$5:A62,A62)=1,1,0))</f>
        <v>0</v>
      </c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2"/>
      <c r="G63" s="12"/>
      <c r="H63" s="21"/>
      <c r="I63" s="20" t="str">
        <f aca="false">IF(OR($B63="",C63=""),"",COUNTIFS($B$5:$B$154,$B63,C$5:C$154,C63))</f>
        <v/>
      </c>
      <c r="J63" s="20" t="str">
        <f aca="false">IF(OR($B63="",D63=""),"",COUNTIFS($B$5:$B$154,$B63,D$5:D$154,D63))</f>
        <v/>
      </c>
      <c r="K63" s="20" t="str">
        <f aca="false">IF(OR($B63="",E63=""),"",COUNTIFS($B$5:$B$154,$B63,E$5:E$154,E63))</f>
        <v/>
      </c>
      <c r="L63" s="20" t="str">
        <f aca="false">IF(OR($B63="",F63=""),"",COUNTIFS($B$5:$B$154,$B63,F$5:F$154,F63))</f>
        <v/>
      </c>
      <c r="M63" s="20" t="str">
        <f aca="false">IF(OR($B63="",G63=""),"",COUNTIFS($B$5:$B$154,$B63,G$5:G$154,G63))</f>
        <v/>
      </c>
      <c r="N63" s="20" t="n">
        <f aca="false">IF(A63="",0,IF(COUNTIF($A$5:A63,A63)=1,1,0))</f>
        <v>0</v>
      </c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2"/>
      <c r="G64" s="12"/>
      <c r="H64" s="21"/>
      <c r="I64" s="20" t="str">
        <f aca="false">IF(OR($B64="",C64=""),"",COUNTIFS($B$5:$B$154,$B64,C$5:C$154,C64))</f>
        <v/>
      </c>
      <c r="J64" s="20" t="str">
        <f aca="false">IF(OR($B64="",D64=""),"",COUNTIFS($B$5:$B$154,$B64,D$5:D$154,D64))</f>
        <v/>
      </c>
      <c r="K64" s="20" t="str">
        <f aca="false">IF(OR($B64="",E64=""),"",COUNTIFS($B$5:$B$154,$B64,E$5:E$154,E64))</f>
        <v/>
      </c>
      <c r="L64" s="20" t="str">
        <f aca="false">IF(OR($B64="",F64=""),"",COUNTIFS($B$5:$B$154,$B64,F$5:F$154,F64))</f>
        <v/>
      </c>
      <c r="M64" s="20" t="str">
        <f aca="false">IF(OR($B64="",G64=""),"",COUNTIFS($B$5:$B$154,$B64,G$5:G$154,G64))</f>
        <v/>
      </c>
      <c r="N64" s="20" t="n">
        <f aca="false">IF(A64="",0,IF(COUNTIF($A$5:A64,A64)=1,1,0))</f>
        <v>0</v>
      </c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2"/>
      <c r="G65" s="12"/>
      <c r="H65" s="21"/>
      <c r="I65" s="20" t="str">
        <f aca="false">IF(OR($B65="",C65=""),"",COUNTIFS($B$5:$B$154,$B65,C$5:C$154,C65))</f>
        <v/>
      </c>
      <c r="J65" s="20" t="str">
        <f aca="false">IF(OR($B65="",D65=""),"",COUNTIFS($B$5:$B$154,$B65,D$5:D$154,D65))</f>
        <v/>
      </c>
      <c r="K65" s="20" t="str">
        <f aca="false">IF(OR($B65="",E65=""),"",COUNTIFS($B$5:$B$154,$B65,E$5:E$154,E65))</f>
        <v/>
      </c>
      <c r="L65" s="20" t="str">
        <f aca="false">IF(OR($B65="",F65=""),"",COUNTIFS($B$5:$B$154,$B65,F$5:F$154,F65))</f>
        <v/>
      </c>
      <c r="M65" s="20" t="str">
        <f aca="false">IF(OR($B65="",G65=""),"",COUNTIFS($B$5:$B$154,$B65,G$5:G$154,G65))</f>
        <v/>
      </c>
      <c r="N65" s="20" t="n">
        <f aca="false">IF(A65="",0,IF(COUNTIF($A$5:A65,A65)=1,1,0))</f>
        <v>0</v>
      </c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2"/>
      <c r="G66" s="12"/>
      <c r="H66" s="21"/>
      <c r="I66" s="20" t="str">
        <f aca="false">IF(OR($B66="",C66=""),"",COUNTIFS($B$5:$B$154,$B66,C$5:C$154,C66))</f>
        <v/>
      </c>
      <c r="J66" s="20" t="str">
        <f aca="false">IF(OR($B66="",D66=""),"",COUNTIFS($B$5:$B$154,$B66,D$5:D$154,D66))</f>
        <v/>
      </c>
      <c r="K66" s="20" t="str">
        <f aca="false">IF(OR($B66="",E66=""),"",COUNTIFS($B$5:$B$154,$B66,E$5:E$154,E66))</f>
        <v/>
      </c>
      <c r="L66" s="20" t="str">
        <f aca="false">IF(OR($B66="",F66=""),"",COUNTIFS($B$5:$B$154,$B66,F$5:F$154,F66))</f>
        <v/>
      </c>
      <c r="M66" s="20" t="str">
        <f aca="false">IF(OR($B66="",G66=""),"",COUNTIFS($B$5:$B$154,$B66,G$5:G$154,G66))</f>
        <v/>
      </c>
      <c r="N66" s="20" t="n">
        <f aca="false">IF(A66="",0,IF(COUNTIF($A$5:A66,A66)=1,1,0))</f>
        <v>0</v>
      </c>
    </row>
    <row r="67" customFormat="false" ht="15" hidden="false" customHeight="false" outlineLevel="0" collapsed="false">
      <c r="A67" s="12"/>
      <c r="B67" s="12"/>
      <c r="C67" s="12"/>
      <c r="D67" s="12"/>
      <c r="E67" s="12"/>
      <c r="F67" s="12"/>
      <c r="G67" s="12"/>
      <c r="H67" s="21"/>
      <c r="I67" s="20" t="str">
        <f aca="false">IF(OR($B67="",C67=""),"",COUNTIFS($B$5:$B$154,$B67,C$5:C$154,C67))</f>
        <v/>
      </c>
      <c r="J67" s="20" t="str">
        <f aca="false">IF(OR($B67="",D67=""),"",COUNTIFS($B$5:$B$154,$B67,D$5:D$154,D67))</f>
        <v/>
      </c>
      <c r="K67" s="20" t="str">
        <f aca="false">IF(OR($B67="",E67=""),"",COUNTIFS($B$5:$B$154,$B67,E$5:E$154,E67))</f>
        <v/>
      </c>
      <c r="L67" s="20" t="str">
        <f aca="false">IF(OR($B67="",F67=""),"",COUNTIFS($B$5:$B$154,$B67,F$5:F$154,F67))</f>
        <v/>
      </c>
      <c r="M67" s="20" t="str">
        <f aca="false">IF(OR($B67="",G67=""),"",COUNTIFS($B$5:$B$154,$B67,G$5:G$154,G67))</f>
        <v/>
      </c>
      <c r="N67" s="20" t="n">
        <f aca="false">IF(A67="",0,IF(COUNTIF($A$5:A67,A67)=1,1,0))</f>
        <v>0</v>
      </c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12"/>
      <c r="G68" s="12"/>
      <c r="H68" s="21"/>
      <c r="I68" s="20" t="str">
        <f aca="false">IF(OR($B68="",C68=""),"",COUNTIFS($B$5:$B$154,$B68,C$5:C$154,C68))</f>
        <v/>
      </c>
      <c r="J68" s="20" t="str">
        <f aca="false">IF(OR($B68="",D68=""),"",COUNTIFS($B$5:$B$154,$B68,D$5:D$154,D68))</f>
        <v/>
      </c>
      <c r="K68" s="20" t="str">
        <f aca="false">IF(OR($B68="",E68=""),"",COUNTIFS($B$5:$B$154,$B68,E$5:E$154,E68))</f>
        <v/>
      </c>
      <c r="L68" s="20" t="str">
        <f aca="false">IF(OR($B68="",F68=""),"",COUNTIFS($B$5:$B$154,$B68,F$5:F$154,F68))</f>
        <v/>
      </c>
      <c r="M68" s="20" t="str">
        <f aca="false">IF(OR($B68="",G68=""),"",COUNTIFS($B$5:$B$154,$B68,G$5:G$154,G68))</f>
        <v/>
      </c>
      <c r="N68" s="20" t="n">
        <f aca="false">IF(A68="",0,IF(COUNTIF($A$5:A68,A68)=1,1,0))</f>
        <v>0</v>
      </c>
    </row>
    <row r="69" customFormat="false" ht="15" hidden="false" customHeight="false" outlineLevel="0" collapsed="false">
      <c r="A69" s="12"/>
      <c r="B69" s="12"/>
      <c r="C69" s="12"/>
      <c r="D69" s="12"/>
      <c r="E69" s="12"/>
      <c r="F69" s="12"/>
      <c r="G69" s="12"/>
      <c r="H69" s="21"/>
      <c r="I69" s="20" t="str">
        <f aca="false">IF(OR($B69="",C69=""),"",COUNTIFS($B$5:$B$154,$B69,C$5:C$154,C69))</f>
        <v/>
      </c>
      <c r="J69" s="20" t="str">
        <f aca="false">IF(OR($B69="",D69=""),"",COUNTIFS($B$5:$B$154,$B69,D$5:D$154,D69))</f>
        <v/>
      </c>
      <c r="K69" s="20" t="str">
        <f aca="false">IF(OR($B69="",E69=""),"",COUNTIFS($B$5:$B$154,$B69,E$5:E$154,E69))</f>
        <v/>
      </c>
      <c r="L69" s="20" t="str">
        <f aca="false">IF(OR($B69="",F69=""),"",COUNTIFS($B$5:$B$154,$B69,F$5:F$154,F69))</f>
        <v/>
      </c>
      <c r="M69" s="20" t="str">
        <f aca="false">IF(OR($B69="",G69=""),"",COUNTIFS($B$5:$B$154,$B69,G$5:G$154,G69))</f>
        <v/>
      </c>
      <c r="N69" s="20" t="n">
        <f aca="false">IF(A69="",0,IF(COUNTIF($A$5:A69,A69)=1,1,0))</f>
        <v>0</v>
      </c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12"/>
      <c r="G70" s="12"/>
      <c r="H70" s="21"/>
      <c r="I70" s="20" t="str">
        <f aca="false">IF(OR($B70="",C70=""),"",COUNTIFS($B$5:$B$154,$B70,C$5:C$154,C70))</f>
        <v/>
      </c>
      <c r="J70" s="20" t="str">
        <f aca="false">IF(OR($B70="",D70=""),"",COUNTIFS($B$5:$B$154,$B70,D$5:D$154,D70))</f>
        <v/>
      </c>
      <c r="K70" s="20" t="str">
        <f aca="false">IF(OR($B70="",E70=""),"",COUNTIFS($B$5:$B$154,$B70,E$5:E$154,E70))</f>
        <v/>
      </c>
      <c r="L70" s="20" t="str">
        <f aca="false">IF(OR($B70="",F70=""),"",COUNTIFS($B$5:$B$154,$B70,F$5:F$154,F70))</f>
        <v/>
      </c>
      <c r="M70" s="20" t="str">
        <f aca="false">IF(OR($B70="",G70=""),"",COUNTIFS($B$5:$B$154,$B70,G$5:G$154,G70))</f>
        <v/>
      </c>
      <c r="N70" s="20" t="n">
        <f aca="false">IF(A70="",0,IF(COUNTIF($A$5:A70,A70)=1,1,0))</f>
        <v>0</v>
      </c>
    </row>
    <row r="71" customFormat="false" ht="15" hidden="false" customHeight="false" outlineLevel="0" collapsed="false">
      <c r="A71" s="12"/>
      <c r="B71" s="12"/>
      <c r="C71" s="12"/>
      <c r="D71" s="12"/>
      <c r="E71" s="12"/>
      <c r="F71" s="12"/>
      <c r="G71" s="12"/>
      <c r="H71" s="21"/>
      <c r="I71" s="20" t="str">
        <f aca="false">IF(OR($B71="",C71=""),"",COUNTIFS($B$5:$B$154,$B71,C$5:C$154,C71))</f>
        <v/>
      </c>
      <c r="J71" s="20" t="str">
        <f aca="false">IF(OR($B71="",D71=""),"",COUNTIFS($B$5:$B$154,$B71,D$5:D$154,D71))</f>
        <v/>
      </c>
      <c r="K71" s="20" t="str">
        <f aca="false">IF(OR($B71="",E71=""),"",COUNTIFS($B$5:$B$154,$B71,E$5:E$154,E71))</f>
        <v/>
      </c>
      <c r="L71" s="20" t="str">
        <f aca="false">IF(OR($B71="",F71=""),"",COUNTIFS($B$5:$B$154,$B71,F$5:F$154,F71))</f>
        <v/>
      </c>
      <c r="M71" s="20" t="str">
        <f aca="false">IF(OR($B71="",G71=""),"",COUNTIFS($B$5:$B$154,$B71,G$5:G$154,G71))</f>
        <v/>
      </c>
      <c r="N71" s="20" t="n">
        <f aca="false">IF(A71="",0,IF(COUNTIF($A$5:A71,A71)=1,1,0))</f>
        <v>0</v>
      </c>
    </row>
    <row r="72" customFormat="false" ht="15" hidden="false" customHeight="false" outlineLevel="0" collapsed="false">
      <c r="A72" s="12"/>
      <c r="B72" s="12"/>
      <c r="C72" s="12"/>
      <c r="D72" s="12"/>
      <c r="E72" s="12"/>
      <c r="F72" s="12"/>
      <c r="G72" s="12"/>
      <c r="H72" s="21"/>
      <c r="I72" s="20" t="str">
        <f aca="false">IF(OR($B72="",C72=""),"",COUNTIFS($B$5:$B$154,$B72,C$5:C$154,C72))</f>
        <v/>
      </c>
      <c r="J72" s="20" t="str">
        <f aca="false">IF(OR($B72="",D72=""),"",COUNTIFS($B$5:$B$154,$B72,D$5:D$154,D72))</f>
        <v/>
      </c>
      <c r="K72" s="20" t="str">
        <f aca="false">IF(OR($B72="",E72=""),"",COUNTIFS($B$5:$B$154,$B72,E$5:E$154,E72))</f>
        <v/>
      </c>
      <c r="L72" s="20" t="str">
        <f aca="false">IF(OR($B72="",F72=""),"",COUNTIFS($B$5:$B$154,$B72,F$5:F$154,F72))</f>
        <v/>
      </c>
      <c r="M72" s="20" t="str">
        <f aca="false">IF(OR($B72="",G72=""),"",COUNTIFS($B$5:$B$154,$B72,G$5:G$154,G72))</f>
        <v/>
      </c>
      <c r="N72" s="20" t="n">
        <f aca="false">IF(A72="",0,IF(COUNTIF($A$5:A72,A72)=1,1,0))</f>
        <v>0</v>
      </c>
    </row>
    <row r="73" customFormat="false" ht="15" hidden="false" customHeight="false" outlineLevel="0" collapsed="false">
      <c r="A73" s="12"/>
      <c r="B73" s="12"/>
      <c r="C73" s="12"/>
      <c r="D73" s="12"/>
      <c r="E73" s="12"/>
      <c r="F73" s="12"/>
      <c r="G73" s="12"/>
      <c r="H73" s="21"/>
      <c r="I73" s="20" t="str">
        <f aca="false">IF(OR($B73="",C73=""),"",COUNTIFS($B$5:$B$154,$B73,C$5:C$154,C73))</f>
        <v/>
      </c>
      <c r="J73" s="20" t="str">
        <f aca="false">IF(OR($B73="",D73=""),"",COUNTIFS($B$5:$B$154,$B73,D$5:D$154,D73))</f>
        <v/>
      </c>
      <c r="K73" s="20" t="str">
        <f aca="false">IF(OR($B73="",E73=""),"",COUNTIFS($B$5:$B$154,$B73,E$5:E$154,E73))</f>
        <v/>
      </c>
      <c r="L73" s="20" t="str">
        <f aca="false">IF(OR($B73="",F73=""),"",COUNTIFS($B$5:$B$154,$B73,F$5:F$154,F73))</f>
        <v/>
      </c>
      <c r="M73" s="20" t="str">
        <f aca="false">IF(OR($B73="",G73=""),"",COUNTIFS($B$5:$B$154,$B73,G$5:G$154,G73))</f>
        <v/>
      </c>
      <c r="N73" s="20" t="n">
        <f aca="false">IF(A73="",0,IF(COUNTIF($A$5:A73,A73)=1,1,0))</f>
        <v>0</v>
      </c>
    </row>
    <row r="74" customFormat="false" ht="15" hidden="false" customHeight="false" outlineLevel="0" collapsed="false">
      <c r="A74" s="12"/>
      <c r="B74" s="12"/>
      <c r="C74" s="12"/>
      <c r="D74" s="12"/>
      <c r="E74" s="12"/>
      <c r="F74" s="12"/>
      <c r="G74" s="12"/>
      <c r="H74" s="21"/>
      <c r="I74" s="20" t="str">
        <f aca="false">IF(OR($B74="",C74=""),"",COUNTIFS($B$5:$B$154,$B74,C$5:C$154,C74))</f>
        <v/>
      </c>
      <c r="J74" s="20" t="str">
        <f aca="false">IF(OR($B74="",D74=""),"",COUNTIFS($B$5:$B$154,$B74,D$5:D$154,D74))</f>
        <v/>
      </c>
      <c r="K74" s="20" t="str">
        <f aca="false">IF(OR($B74="",E74=""),"",COUNTIFS($B$5:$B$154,$B74,E$5:E$154,E74))</f>
        <v/>
      </c>
      <c r="L74" s="20" t="str">
        <f aca="false">IF(OR($B74="",F74=""),"",COUNTIFS($B$5:$B$154,$B74,F$5:F$154,F74))</f>
        <v/>
      </c>
      <c r="M74" s="20" t="str">
        <f aca="false">IF(OR($B74="",G74=""),"",COUNTIFS($B$5:$B$154,$B74,G$5:G$154,G74))</f>
        <v/>
      </c>
      <c r="N74" s="20" t="n">
        <f aca="false">IF(A74="",0,IF(COUNTIF($A$5:A74,A74)=1,1,0))</f>
        <v>0</v>
      </c>
    </row>
    <row r="75" customFormat="false" ht="15" hidden="false" customHeight="false" outlineLevel="0" collapsed="false">
      <c r="A75" s="12"/>
      <c r="B75" s="12"/>
      <c r="C75" s="12"/>
      <c r="D75" s="12"/>
      <c r="E75" s="12"/>
      <c r="F75" s="12"/>
      <c r="G75" s="12"/>
      <c r="H75" s="21"/>
      <c r="I75" s="20" t="str">
        <f aca="false">IF(OR($B75="",C75=""),"",COUNTIFS($B$5:$B$154,$B75,C$5:C$154,C75))</f>
        <v/>
      </c>
      <c r="J75" s="20" t="str">
        <f aca="false">IF(OR($B75="",D75=""),"",COUNTIFS($B$5:$B$154,$B75,D$5:D$154,D75))</f>
        <v/>
      </c>
      <c r="K75" s="20" t="str">
        <f aca="false">IF(OR($B75="",E75=""),"",COUNTIFS($B$5:$B$154,$B75,E$5:E$154,E75))</f>
        <v/>
      </c>
      <c r="L75" s="20" t="str">
        <f aca="false">IF(OR($B75="",F75=""),"",COUNTIFS($B$5:$B$154,$B75,F$5:F$154,F75))</f>
        <v/>
      </c>
      <c r="M75" s="20" t="str">
        <f aca="false">IF(OR($B75="",G75=""),"",COUNTIFS($B$5:$B$154,$B75,G$5:G$154,G75))</f>
        <v/>
      </c>
      <c r="N75" s="20" t="n">
        <f aca="false">IF(A75="",0,IF(COUNTIF($A$5:A75,A75)=1,1,0))</f>
        <v>0</v>
      </c>
    </row>
    <row r="76" customFormat="false" ht="15" hidden="false" customHeight="false" outlineLevel="0" collapsed="false">
      <c r="A76" s="12"/>
      <c r="B76" s="12"/>
      <c r="C76" s="12"/>
      <c r="D76" s="12"/>
      <c r="E76" s="12"/>
      <c r="F76" s="12"/>
      <c r="G76" s="12"/>
      <c r="H76" s="21"/>
      <c r="I76" s="20" t="str">
        <f aca="false">IF(OR($B76="",C76=""),"",COUNTIFS($B$5:$B$154,$B76,C$5:C$154,C76))</f>
        <v/>
      </c>
      <c r="J76" s="20" t="str">
        <f aca="false">IF(OR($B76="",D76=""),"",COUNTIFS($B$5:$B$154,$B76,D$5:D$154,D76))</f>
        <v/>
      </c>
      <c r="K76" s="20" t="str">
        <f aca="false">IF(OR($B76="",E76=""),"",COUNTIFS($B$5:$B$154,$B76,E$5:E$154,E76))</f>
        <v/>
      </c>
      <c r="L76" s="20" t="str">
        <f aca="false">IF(OR($B76="",F76=""),"",COUNTIFS($B$5:$B$154,$B76,F$5:F$154,F76))</f>
        <v/>
      </c>
      <c r="M76" s="20" t="str">
        <f aca="false">IF(OR($B76="",G76=""),"",COUNTIFS($B$5:$B$154,$B76,G$5:G$154,G76))</f>
        <v/>
      </c>
      <c r="N76" s="20" t="n">
        <f aca="false">IF(A76="",0,IF(COUNTIF($A$5:A76,A76)=1,1,0))</f>
        <v>0</v>
      </c>
    </row>
    <row r="77" customFormat="false" ht="15" hidden="false" customHeight="false" outlineLevel="0" collapsed="false">
      <c r="A77" s="12"/>
      <c r="B77" s="12"/>
      <c r="C77" s="12"/>
      <c r="D77" s="12"/>
      <c r="E77" s="12"/>
      <c r="F77" s="12"/>
      <c r="G77" s="12"/>
      <c r="H77" s="21"/>
      <c r="I77" s="20" t="str">
        <f aca="false">IF(OR($B77="",C77=""),"",COUNTIFS($B$5:$B$154,$B77,C$5:C$154,C77))</f>
        <v/>
      </c>
      <c r="J77" s="20" t="str">
        <f aca="false">IF(OR($B77="",D77=""),"",COUNTIFS($B$5:$B$154,$B77,D$5:D$154,D77))</f>
        <v/>
      </c>
      <c r="K77" s="20" t="str">
        <f aca="false">IF(OR($B77="",E77=""),"",COUNTIFS($B$5:$B$154,$B77,E$5:E$154,E77))</f>
        <v/>
      </c>
      <c r="L77" s="20" t="str">
        <f aca="false">IF(OR($B77="",F77=""),"",COUNTIFS($B$5:$B$154,$B77,F$5:F$154,F77))</f>
        <v/>
      </c>
      <c r="M77" s="20" t="str">
        <f aca="false">IF(OR($B77="",G77=""),"",COUNTIFS($B$5:$B$154,$B77,G$5:G$154,G77))</f>
        <v/>
      </c>
      <c r="N77" s="20" t="n">
        <f aca="false">IF(A77="",0,IF(COUNTIF($A$5:A77,A77)=1,1,0))</f>
        <v>0</v>
      </c>
    </row>
    <row r="78" customFormat="false" ht="15" hidden="false" customHeight="false" outlineLevel="0" collapsed="false">
      <c r="A78" s="12"/>
      <c r="B78" s="12"/>
      <c r="C78" s="12"/>
      <c r="D78" s="12"/>
      <c r="E78" s="12"/>
      <c r="F78" s="12"/>
      <c r="G78" s="12"/>
      <c r="H78" s="21"/>
      <c r="I78" s="20" t="str">
        <f aca="false">IF(OR($B78="",C78=""),"",COUNTIFS($B$5:$B$154,$B78,C$5:C$154,C78))</f>
        <v/>
      </c>
      <c r="J78" s="20" t="str">
        <f aca="false">IF(OR($B78="",D78=""),"",COUNTIFS($B$5:$B$154,$B78,D$5:D$154,D78))</f>
        <v/>
      </c>
      <c r="K78" s="20" t="str">
        <f aca="false">IF(OR($B78="",E78=""),"",COUNTIFS($B$5:$B$154,$B78,E$5:E$154,E78))</f>
        <v/>
      </c>
      <c r="L78" s="20" t="str">
        <f aca="false">IF(OR($B78="",F78=""),"",COUNTIFS($B$5:$B$154,$B78,F$5:F$154,F78))</f>
        <v/>
      </c>
      <c r="M78" s="20" t="str">
        <f aca="false">IF(OR($B78="",G78=""),"",COUNTIFS($B$5:$B$154,$B78,G$5:G$154,G78))</f>
        <v/>
      </c>
      <c r="N78" s="20" t="n">
        <f aca="false">IF(A78="",0,IF(COUNTIF($A$5:A78,A78)=1,1,0))</f>
        <v>0</v>
      </c>
    </row>
    <row r="79" customFormat="false" ht="15" hidden="false" customHeight="false" outlineLevel="0" collapsed="false">
      <c r="A79" s="12"/>
      <c r="B79" s="12"/>
      <c r="C79" s="12"/>
      <c r="D79" s="12"/>
      <c r="E79" s="12"/>
      <c r="F79" s="12"/>
      <c r="G79" s="12"/>
      <c r="H79" s="21"/>
      <c r="I79" s="20" t="str">
        <f aca="false">IF(OR($B79="",C79=""),"",COUNTIFS($B$5:$B$154,$B79,C$5:C$154,C79))</f>
        <v/>
      </c>
      <c r="J79" s="20" t="str">
        <f aca="false">IF(OR($B79="",D79=""),"",COUNTIFS($B$5:$B$154,$B79,D$5:D$154,D79))</f>
        <v/>
      </c>
      <c r="K79" s="20" t="str">
        <f aca="false">IF(OR($B79="",E79=""),"",COUNTIFS($B$5:$B$154,$B79,E$5:E$154,E79))</f>
        <v/>
      </c>
      <c r="L79" s="20" t="str">
        <f aca="false">IF(OR($B79="",F79=""),"",COUNTIFS($B$5:$B$154,$B79,F$5:F$154,F79))</f>
        <v/>
      </c>
      <c r="M79" s="20" t="str">
        <f aca="false">IF(OR($B79="",G79=""),"",COUNTIFS($B$5:$B$154,$B79,G$5:G$154,G79))</f>
        <v/>
      </c>
      <c r="N79" s="20" t="n">
        <f aca="false">IF(A79="",0,IF(COUNTIF($A$5:A79,A79)=1,1,0))</f>
        <v>0</v>
      </c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12"/>
      <c r="G80" s="12"/>
      <c r="H80" s="21"/>
      <c r="I80" s="20" t="str">
        <f aca="false">IF(OR($B80="",C80=""),"",COUNTIFS($B$5:$B$154,$B80,C$5:C$154,C80))</f>
        <v/>
      </c>
      <c r="J80" s="20" t="str">
        <f aca="false">IF(OR($B80="",D80=""),"",COUNTIFS($B$5:$B$154,$B80,D$5:D$154,D80))</f>
        <v/>
      </c>
      <c r="K80" s="20" t="str">
        <f aca="false">IF(OR($B80="",E80=""),"",COUNTIFS($B$5:$B$154,$B80,E$5:E$154,E80))</f>
        <v/>
      </c>
      <c r="L80" s="20" t="str">
        <f aca="false">IF(OR($B80="",F80=""),"",COUNTIFS($B$5:$B$154,$B80,F$5:F$154,F80))</f>
        <v/>
      </c>
      <c r="M80" s="20" t="str">
        <f aca="false">IF(OR($B80="",G80=""),"",COUNTIFS($B$5:$B$154,$B80,G$5:G$154,G80))</f>
        <v/>
      </c>
      <c r="N80" s="20" t="n">
        <f aca="false">IF(A80="",0,IF(COUNTIF($A$5:A80,A80)=1,1,0))</f>
        <v>0</v>
      </c>
    </row>
    <row r="81" customFormat="false" ht="15" hidden="false" customHeight="false" outlineLevel="0" collapsed="false">
      <c r="A81" s="12"/>
      <c r="B81" s="12"/>
      <c r="C81" s="12"/>
      <c r="D81" s="12"/>
      <c r="E81" s="12"/>
      <c r="F81" s="12"/>
      <c r="G81" s="12"/>
      <c r="H81" s="21"/>
      <c r="I81" s="20" t="str">
        <f aca="false">IF(OR($B81="",C81=""),"",COUNTIFS($B$5:$B$154,$B81,C$5:C$154,C81))</f>
        <v/>
      </c>
      <c r="J81" s="20" t="str">
        <f aca="false">IF(OR($B81="",D81=""),"",COUNTIFS($B$5:$B$154,$B81,D$5:D$154,D81))</f>
        <v/>
      </c>
      <c r="K81" s="20" t="str">
        <f aca="false">IF(OR($B81="",E81=""),"",COUNTIFS($B$5:$B$154,$B81,E$5:E$154,E81))</f>
        <v/>
      </c>
      <c r="L81" s="20" t="str">
        <f aca="false">IF(OR($B81="",F81=""),"",COUNTIFS($B$5:$B$154,$B81,F$5:F$154,F81))</f>
        <v/>
      </c>
      <c r="M81" s="20" t="str">
        <f aca="false">IF(OR($B81="",G81=""),"",COUNTIFS($B$5:$B$154,$B81,G$5:G$154,G81))</f>
        <v/>
      </c>
      <c r="N81" s="20" t="n">
        <f aca="false">IF(A81="",0,IF(COUNTIF($A$5:A81,A81)=1,1,0))</f>
        <v>0</v>
      </c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12"/>
      <c r="G82" s="12"/>
      <c r="H82" s="21"/>
      <c r="I82" s="20" t="str">
        <f aca="false">IF(OR($B82="",C82=""),"",COUNTIFS($B$5:$B$154,$B82,C$5:C$154,C82))</f>
        <v/>
      </c>
      <c r="J82" s="20" t="str">
        <f aca="false">IF(OR($B82="",D82=""),"",COUNTIFS($B$5:$B$154,$B82,D$5:D$154,D82))</f>
        <v/>
      </c>
      <c r="K82" s="20" t="str">
        <f aca="false">IF(OR($B82="",E82=""),"",COUNTIFS($B$5:$B$154,$B82,E$5:E$154,E82))</f>
        <v/>
      </c>
      <c r="L82" s="20" t="str">
        <f aca="false">IF(OR($B82="",F82=""),"",COUNTIFS($B$5:$B$154,$B82,F$5:F$154,F82))</f>
        <v/>
      </c>
      <c r="M82" s="20" t="str">
        <f aca="false">IF(OR($B82="",G82=""),"",COUNTIFS($B$5:$B$154,$B82,G$5:G$154,G82))</f>
        <v/>
      </c>
      <c r="N82" s="20" t="n">
        <f aca="false">IF(A82="",0,IF(COUNTIF($A$5:A82,A82)=1,1,0))</f>
        <v>0</v>
      </c>
    </row>
    <row r="83" customFormat="false" ht="15" hidden="false" customHeight="false" outlineLevel="0" collapsed="false">
      <c r="A83" s="12"/>
      <c r="B83" s="12"/>
      <c r="C83" s="12"/>
      <c r="D83" s="12"/>
      <c r="E83" s="12"/>
      <c r="F83" s="12"/>
      <c r="G83" s="12"/>
      <c r="H83" s="21"/>
      <c r="I83" s="20" t="str">
        <f aca="false">IF(OR($B83="",C83=""),"",COUNTIFS($B$5:$B$154,$B83,C$5:C$154,C83))</f>
        <v/>
      </c>
      <c r="J83" s="20" t="str">
        <f aca="false">IF(OR($B83="",D83=""),"",COUNTIFS($B$5:$B$154,$B83,D$5:D$154,D83))</f>
        <v/>
      </c>
      <c r="K83" s="20" t="str">
        <f aca="false">IF(OR($B83="",E83=""),"",COUNTIFS($B$5:$B$154,$B83,E$5:E$154,E83))</f>
        <v/>
      </c>
      <c r="L83" s="20" t="str">
        <f aca="false">IF(OR($B83="",F83=""),"",COUNTIFS($B$5:$B$154,$B83,F$5:F$154,F83))</f>
        <v/>
      </c>
      <c r="M83" s="20" t="str">
        <f aca="false">IF(OR($B83="",G83=""),"",COUNTIFS($B$5:$B$154,$B83,G$5:G$154,G83))</f>
        <v/>
      </c>
      <c r="N83" s="20" t="n">
        <f aca="false">IF(A83="",0,IF(COUNTIF($A$5:A83,A83)=1,1,0))</f>
        <v>0</v>
      </c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12"/>
      <c r="G84" s="12"/>
      <c r="H84" s="21"/>
      <c r="I84" s="20" t="str">
        <f aca="false">IF(OR($B84="",C84=""),"",COUNTIFS($B$5:$B$154,$B84,C$5:C$154,C84))</f>
        <v/>
      </c>
      <c r="J84" s="20" t="str">
        <f aca="false">IF(OR($B84="",D84=""),"",COUNTIFS($B$5:$B$154,$B84,D$5:D$154,D84))</f>
        <v/>
      </c>
      <c r="K84" s="20" t="str">
        <f aca="false">IF(OR($B84="",E84=""),"",COUNTIFS($B$5:$B$154,$B84,E$5:E$154,E84))</f>
        <v/>
      </c>
      <c r="L84" s="20" t="str">
        <f aca="false">IF(OR($B84="",F84=""),"",COUNTIFS($B$5:$B$154,$B84,F$5:F$154,F84))</f>
        <v/>
      </c>
      <c r="M84" s="20" t="str">
        <f aca="false">IF(OR($B84="",G84=""),"",COUNTIFS($B$5:$B$154,$B84,G$5:G$154,G84))</f>
        <v/>
      </c>
      <c r="N84" s="20" t="n">
        <f aca="false">IF(A84="",0,IF(COUNTIF($A$5:A84,A84)=1,1,0))</f>
        <v>0</v>
      </c>
    </row>
    <row r="85" customFormat="false" ht="15" hidden="false" customHeight="false" outlineLevel="0" collapsed="false">
      <c r="A85" s="12"/>
      <c r="B85" s="12"/>
      <c r="C85" s="12"/>
      <c r="D85" s="12"/>
      <c r="E85" s="12"/>
      <c r="F85" s="12"/>
      <c r="G85" s="12"/>
      <c r="H85" s="21"/>
      <c r="I85" s="20" t="str">
        <f aca="false">IF(OR($B85="",C85=""),"",COUNTIFS($B$5:$B$154,$B85,C$5:C$154,C85))</f>
        <v/>
      </c>
      <c r="J85" s="20" t="str">
        <f aca="false">IF(OR($B85="",D85=""),"",COUNTIFS($B$5:$B$154,$B85,D$5:D$154,D85))</f>
        <v/>
      </c>
      <c r="K85" s="20" t="str">
        <f aca="false">IF(OR($B85="",E85=""),"",COUNTIFS($B$5:$B$154,$B85,E$5:E$154,E85))</f>
        <v/>
      </c>
      <c r="L85" s="20" t="str">
        <f aca="false">IF(OR($B85="",F85=""),"",COUNTIFS($B$5:$B$154,$B85,F$5:F$154,F85))</f>
        <v/>
      </c>
      <c r="M85" s="20" t="str">
        <f aca="false">IF(OR($B85="",G85=""),"",COUNTIFS($B$5:$B$154,$B85,G$5:G$154,G85))</f>
        <v/>
      </c>
      <c r="N85" s="20" t="n">
        <f aca="false">IF(A85="",0,IF(COUNTIF($A$5:A85,A85)=1,1,0))</f>
        <v>0</v>
      </c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2"/>
      <c r="G86" s="12"/>
      <c r="H86" s="21"/>
      <c r="I86" s="20" t="str">
        <f aca="false">IF(OR($B86="",C86=""),"",COUNTIFS($B$5:$B$154,$B86,C$5:C$154,C86))</f>
        <v/>
      </c>
      <c r="J86" s="20" t="str">
        <f aca="false">IF(OR($B86="",D86=""),"",COUNTIFS($B$5:$B$154,$B86,D$5:D$154,D86))</f>
        <v/>
      </c>
      <c r="K86" s="20" t="str">
        <f aca="false">IF(OR($B86="",E86=""),"",COUNTIFS($B$5:$B$154,$B86,E$5:E$154,E86))</f>
        <v/>
      </c>
      <c r="L86" s="20" t="str">
        <f aca="false">IF(OR($B86="",F86=""),"",COUNTIFS($B$5:$B$154,$B86,F$5:F$154,F86))</f>
        <v/>
      </c>
      <c r="M86" s="20" t="str">
        <f aca="false">IF(OR($B86="",G86=""),"",COUNTIFS($B$5:$B$154,$B86,G$5:G$154,G86))</f>
        <v/>
      </c>
      <c r="N86" s="20" t="n">
        <f aca="false">IF(A86="",0,IF(COUNTIF($A$5:A86,A86)=1,1,0))</f>
        <v>0</v>
      </c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12"/>
      <c r="G87" s="12"/>
      <c r="H87" s="21"/>
      <c r="I87" s="20" t="str">
        <f aca="false">IF(OR($B87="",C87=""),"",COUNTIFS($B$5:$B$154,$B87,C$5:C$154,C87))</f>
        <v/>
      </c>
      <c r="J87" s="20" t="str">
        <f aca="false">IF(OR($B87="",D87=""),"",COUNTIFS($B$5:$B$154,$B87,D$5:D$154,D87))</f>
        <v/>
      </c>
      <c r="K87" s="20" t="str">
        <f aca="false">IF(OR($B87="",E87=""),"",COUNTIFS($B$5:$B$154,$B87,E$5:E$154,E87))</f>
        <v/>
      </c>
      <c r="L87" s="20" t="str">
        <f aca="false">IF(OR($B87="",F87=""),"",COUNTIFS($B$5:$B$154,$B87,F$5:F$154,F87))</f>
        <v/>
      </c>
      <c r="M87" s="20" t="str">
        <f aca="false">IF(OR($B87="",G87=""),"",COUNTIFS($B$5:$B$154,$B87,G$5:G$154,G87))</f>
        <v/>
      </c>
      <c r="N87" s="20" t="n">
        <f aca="false">IF(A87="",0,IF(COUNTIF($A$5:A87,A87)=1,1,0))</f>
        <v>0</v>
      </c>
    </row>
    <row r="88" customFormat="false" ht="15" hidden="false" customHeight="false" outlineLevel="0" collapsed="false">
      <c r="A88" s="12"/>
      <c r="B88" s="12"/>
      <c r="C88" s="12"/>
      <c r="D88" s="12"/>
      <c r="E88" s="12"/>
      <c r="F88" s="12"/>
      <c r="G88" s="12"/>
      <c r="H88" s="21"/>
      <c r="I88" s="20" t="str">
        <f aca="false">IF(OR($B88="",C88=""),"",COUNTIFS($B$5:$B$154,$B88,C$5:C$154,C88))</f>
        <v/>
      </c>
      <c r="J88" s="20" t="str">
        <f aca="false">IF(OR($B88="",D88=""),"",COUNTIFS($B$5:$B$154,$B88,D$5:D$154,D88))</f>
        <v/>
      </c>
      <c r="K88" s="20" t="str">
        <f aca="false">IF(OR($B88="",E88=""),"",COUNTIFS($B$5:$B$154,$B88,E$5:E$154,E88))</f>
        <v/>
      </c>
      <c r="L88" s="20" t="str">
        <f aca="false">IF(OR($B88="",F88=""),"",COUNTIFS($B$5:$B$154,$B88,F$5:F$154,F88))</f>
        <v/>
      </c>
      <c r="M88" s="20" t="str">
        <f aca="false">IF(OR($B88="",G88=""),"",COUNTIFS($B$5:$B$154,$B88,G$5:G$154,G88))</f>
        <v/>
      </c>
      <c r="N88" s="20" t="n">
        <f aca="false">IF(A88="",0,IF(COUNTIF($A$5:A88,A88)=1,1,0))</f>
        <v>0</v>
      </c>
    </row>
    <row r="89" customFormat="false" ht="15" hidden="false" customHeight="false" outlineLevel="0" collapsed="false">
      <c r="A89" s="12"/>
      <c r="B89" s="12"/>
      <c r="C89" s="12"/>
      <c r="D89" s="12"/>
      <c r="E89" s="12"/>
      <c r="F89" s="12"/>
      <c r="G89" s="12"/>
      <c r="H89" s="21"/>
      <c r="I89" s="20" t="str">
        <f aca="false">IF(OR($B89="",C89=""),"",COUNTIFS($B$5:$B$154,$B89,C$5:C$154,C89))</f>
        <v/>
      </c>
      <c r="J89" s="20" t="str">
        <f aca="false">IF(OR($B89="",D89=""),"",COUNTIFS($B$5:$B$154,$B89,D$5:D$154,D89))</f>
        <v/>
      </c>
      <c r="K89" s="20" t="str">
        <f aca="false">IF(OR($B89="",E89=""),"",COUNTIFS($B$5:$B$154,$B89,E$5:E$154,E89))</f>
        <v/>
      </c>
      <c r="L89" s="20" t="str">
        <f aca="false">IF(OR($B89="",F89=""),"",COUNTIFS($B$5:$B$154,$B89,F$5:F$154,F89))</f>
        <v/>
      </c>
      <c r="M89" s="20" t="str">
        <f aca="false">IF(OR($B89="",G89=""),"",COUNTIFS($B$5:$B$154,$B89,G$5:G$154,G89))</f>
        <v/>
      </c>
      <c r="N89" s="20" t="n">
        <f aca="false">IF(A89="",0,IF(COUNTIF($A$5:A89,A89)=1,1,0))</f>
        <v>0</v>
      </c>
    </row>
    <row r="90" customFormat="false" ht="15" hidden="false" customHeight="false" outlineLevel="0" collapsed="false">
      <c r="A90" s="12"/>
      <c r="B90" s="12"/>
      <c r="C90" s="12"/>
      <c r="D90" s="12"/>
      <c r="E90" s="12"/>
      <c r="F90" s="12"/>
      <c r="G90" s="12"/>
      <c r="H90" s="21"/>
      <c r="I90" s="20" t="str">
        <f aca="false">IF(OR($B90="",C90=""),"",COUNTIFS($B$5:$B$154,$B90,C$5:C$154,C90))</f>
        <v/>
      </c>
      <c r="J90" s="20" t="str">
        <f aca="false">IF(OR($B90="",D90=""),"",COUNTIFS($B$5:$B$154,$B90,D$5:D$154,D90))</f>
        <v/>
      </c>
      <c r="K90" s="20" t="str">
        <f aca="false">IF(OR($B90="",E90=""),"",COUNTIFS($B$5:$B$154,$B90,E$5:E$154,E90))</f>
        <v/>
      </c>
      <c r="L90" s="20" t="str">
        <f aca="false">IF(OR($B90="",F90=""),"",COUNTIFS($B$5:$B$154,$B90,F$5:F$154,F90))</f>
        <v/>
      </c>
      <c r="M90" s="20" t="str">
        <f aca="false">IF(OR($B90="",G90=""),"",COUNTIFS($B$5:$B$154,$B90,G$5:G$154,G90))</f>
        <v/>
      </c>
      <c r="N90" s="20" t="n">
        <f aca="false">IF(A90="",0,IF(COUNTIF($A$5:A90,A90)=1,1,0))</f>
        <v>0</v>
      </c>
    </row>
    <row r="91" customFormat="false" ht="15" hidden="false" customHeight="false" outlineLevel="0" collapsed="false">
      <c r="A91" s="12"/>
      <c r="B91" s="12"/>
      <c r="C91" s="12"/>
      <c r="D91" s="12"/>
      <c r="E91" s="12"/>
      <c r="F91" s="12"/>
      <c r="G91" s="12"/>
      <c r="H91" s="21"/>
      <c r="I91" s="20" t="str">
        <f aca="false">IF(OR($B91="",C91=""),"",COUNTIFS($B$5:$B$154,$B91,C$5:C$154,C91))</f>
        <v/>
      </c>
      <c r="J91" s="20" t="str">
        <f aca="false">IF(OR($B91="",D91=""),"",COUNTIFS($B$5:$B$154,$B91,D$5:D$154,D91))</f>
        <v/>
      </c>
      <c r="K91" s="20" t="str">
        <f aca="false">IF(OR($B91="",E91=""),"",COUNTIFS($B$5:$B$154,$B91,E$5:E$154,E91))</f>
        <v/>
      </c>
      <c r="L91" s="20" t="str">
        <f aca="false">IF(OR($B91="",F91=""),"",COUNTIFS($B$5:$B$154,$B91,F$5:F$154,F91))</f>
        <v/>
      </c>
      <c r="M91" s="20" t="str">
        <f aca="false">IF(OR($B91="",G91=""),"",COUNTIFS($B$5:$B$154,$B91,G$5:G$154,G91))</f>
        <v/>
      </c>
      <c r="N91" s="20" t="n">
        <f aca="false">IF(A91="",0,IF(COUNTIF($A$5:A91,A91)=1,1,0))</f>
        <v>0</v>
      </c>
    </row>
    <row r="92" customFormat="false" ht="15" hidden="false" customHeight="false" outlineLevel="0" collapsed="false">
      <c r="A92" s="12"/>
      <c r="B92" s="12"/>
      <c r="C92" s="12"/>
      <c r="D92" s="12"/>
      <c r="E92" s="12"/>
      <c r="F92" s="12"/>
      <c r="G92" s="12"/>
      <c r="H92" s="21"/>
      <c r="I92" s="20" t="str">
        <f aca="false">IF(OR($B92="",C92=""),"",COUNTIFS($B$5:$B$154,$B92,C$5:C$154,C92))</f>
        <v/>
      </c>
      <c r="J92" s="20" t="str">
        <f aca="false">IF(OR($B92="",D92=""),"",COUNTIFS($B$5:$B$154,$B92,D$5:D$154,D92))</f>
        <v/>
      </c>
      <c r="K92" s="20" t="str">
        <f aca="false">IF(OR($B92="",E92=""),"",COUNTIFS($B$5:$B$154,$B92,E$5:E$154,E92))</f>
        <v/>
      </c>
      <c r="L92" s="20" t="str">
        <f aca="false">IF(OR($B92="",F92=""),"",COUNTIFS($B$5:$B$154,$B92,F$5:F$154,F92))</f>
        <v/>
      </c>
      <c r="M92" s="20" t="str">
        <f aca="false">IF(OR($B92="",G92=""),"",COUNTIFS($B$5:$B$154,$B92,G$5:G$154,G92))</f>
        <v/>
      </c>
      <c r="N92" s="20" t="n">
        <f aca="false">IF(A92="",0,IF(COUNTIF($A$5:A92,A92)=1,1,0))</f>
        <v>0</v>
      </c>
    </row>
    <row r="93" customFormat="false" ht="15" hidden="false" customHeight="false" outlineLevel="0" collapsed="false">
      <c r="A93" s="12"/>
      <c r="B93" s="12"/>
      <c r="C93" s="12"/>
      <c r="D93" s="12"/>
      <c r="E93" s="12"/>
      <c r="F93" s="12"/>
      <c r="G93" s="12"/>
      <c r="H93" s="21"/>
      <c r="I93" s="20" t="str">
        <f aca="false">IF(OR($B93="",C93=""),"",COUNTIFS($B$5:$B$154,$B93,C$5:C$154,C93))</f>
        <v/>
      </c>
      <c r="J93" s="20" t="str">
        <f aca="false">IF(OR($B93="",D93=""),"",COUNTIFS($B$5:$B$154,$B93,D$5:D$154,D93))</f>
        <v/>
      </c>
      <c r="K93" s="20" t="str">
        <f aca="false">IF(OR($B93="",E93=""),"",COUNTIFS($B$5:$B$154,$B93,E$5:E$154,E93))</f>
        <v/>
      </c>
      <c r="L93" s="20" t="str">
        <f aca="false">IF(OR($B93="",F93=""),"",COUNTIFS($B$5:$B$154,$B93,F$5:F$154,F93))</f>
        <v/>
      </c>
      <c r="M93" s="20" t="str">
        <f aca="false">IF(OR($B93="",G93=""),"",COUNTIFS($B$5:$B$154,$B93,G$5:G$154,G93))</f>
        <v/>
      </c>
      <c r="N93" s="20" t="n">
        <f aca="false">IF(A93="",0,IF(COUNTIF($A$5:A93,A93)=1,1,0))</f>
        <v>0</v>
      </c>
    </row>
    <row r="94" customFormat="false" ht="15" hidden="false" customHeight="false" outlineLevel="0" collapsed="false">
      <c r="A94" s="12"/>
      <c r="B94" s="12"/>
      <c r="C94" s="12"/>
      <c r="D94" s="12"/>
      <c r="E94" s="12"/>
      <c r="F94" s="12"/>
      <c r="G94" s="12"/>
      <c r="H94" s="21"/>
      <c r="I94" s="20" t="str">
        <f aca="false">IF(OR($B94="",C94=""),"",COUNTIFS($B$5:$B$154,$B94,C$5:C$154,C94))</f>
        <v/>
      </c>
      <c r="J94" s="20" t="str">
        <f aca="false">IF(OR($B94="",D94=""),"",COUNTIFS($B$5:$B$154,$B94,D$5:D$154,D94))</f>
        <v/>
      </c>
      <c r="K94" s="20" t="str">
        <f aca="false">IF(OR($B94="",E94=""),"",COUNTIFS($B$5:$B$154,$B94,E$5:E$154,E94))</f>
        <v/>
      </c>
      <c r="L94" s="20" t="str">
        <f aca="false">IF(OR($B94="",F94=""),"",COUNTIFS($B$5:$B$154,$B94,F$5:F$154,F94))</f>
        <v/>
      </c>
      <c r="M94" s="20" t="str">
        <f aca="false">IF(OR($B94="",G94=""),"",COUNTIFS($B$5:$B$154,$B94,G$5:G$154,G94))</f>
        <v/>
      </c>
      <c r="N94" s="20" t="n">
        <f aca="false">IF(A94="",0,IF(COUNTIF($A$5:A94,A94)=1,1,0))</f>
        <v>0</v>
      </c>
    </row>
    <row r="95" customFormat="false" ht="15" hidden="false" customHeight="false" outlineLevel="0" collapsed="false">
      <c r="A95" s="12"/>
      <c r="B95" s="12"/>
      <c r="C95" s="12"/>
      <c r="D95" s="12"/>
      <c r="E95" s="12"/>
      <c r="F95" s="12"/>
      <c r="G95" s="12"/>
      <c r="H95" s="21"/>
      <c r="I95" s="20" t="str">
        <f aca="false">IF(OR($B95="",C95=""),"",COUNTIFS($B$5:$B$154,$B95,C$5:C$154,C95))</f>
        <v/>
      </c>
      <c r="J95" s="20" t="str">
        <f aca="false">IF(OR($B95="",D95=""),"",COUNTIFS($B$5:$B$154,$B95,D$5:D$154,D95))</f>
        <v/>
      </c>
      <c r="K95" s="20" t="str">
        <f aca="false">IF(OR($B95="",E95=""),"",COUNTIFS($B$5:$B$154,$B95,E$5:E$154,E95))</f>
        <v/>
      </c>
      <c r="L95" s="20" t="str">
        <f aca="false">IF(OR($B95="",F95=""),"",COUNTIFS($B$5:$B$154,$B95,F$5:F$154,F95))</f>
        <v/>
      </c>
      <c r="M95" s="20" t="str">
        <f aca="false">IF(OR($B95="",G95=""),"",COUNTIFS($B$5:$B$154,$B95,G$5:G$154,G95))</f>
        <v/>
      </c>
      <c r="N95" s="20" t="n">
        <f aca="false">IF(A95="",0,IF(COUNTIF($A$5:A95,A95)=1,1,0))</f>
        <v>0</v>
      </c>
    </row>
    <row r="96" customFormat="false" ht="15" hidden="false" customHeight="false" outlineLevel="0" collapsed="false">
      <c r="A96" s="12"/>
      <c r="B96" s="12"/>
      <c r="C96" s="12"/>
      <c r="D96" s="12"/>
      <c r="E96" s="12"/>
      <c r="F96" s="12"/>
      <c r="G96" s="12"/>
      <c r="H96" s="21"/>
      <c r="I96" s="20" t="str">
        <f aca="false">IF(OR($B96="",C96=""),"",COUNTIFS($B$5:$B$154,$B96,C$5:C$154,C96))</f>
        <v/>
      </c>
      <c r="J96" s="20" t="str">
        <f aca="false">IF(OR($B96="",D96=""),"",COUNTIFS($B$5:$B$154,$B96,D$5:D$154,D96))</f>
        <v/>
      </c>
      <c r="K96" s="20" t="str">
        <f aca="false">IF(OR($B96="",E96=""),"",COUNTIFS($B$5:$B$154,$B96,E$5:E$154,E96))</f>
        <v/>
      </c>
      <c r="L96" s="20" t="str">
        <f aca="false">IF(OR($B96="",F96=""),"",COUNTIFS($B$5:$B$154,$B96,F$5:F$154,F96))</f>
        <v/>
      </c>
      <c r="M96" s="20" t="str">
        <f aca="false">IF(OR($B96="",G96=""),"",COUNTIFS($B$5:$B$154,$B96,G$5:G$154,G96))</f>
        <v/>
      </c>
      <c r="N96" s="20" t="n">
        <f aca="false">IF(A96="",0,IF(COUNTIF($A$5:A96,A96)=1,1,0))</f>
        <v>0</v>
      </c>
    </row>
    <row r="97" customFormat="false" ht="15" hidden="false" customHeight="false" outlineLevel="0" collapsed="false">
      <c r="A97" s="12"/>
      <c r="B97" s="12"/>
      <c r="C97" s="12"/>
      <c r="D97" s="12"/>
      <c r="E97" s="12"/>
      <c r="F97" s="12"/>
      <c r="G97" s="12"/>
      <c r="H97" s="21"/>
      <c r="I97" s="20" t="str">
        <f aca="false">IF(OR($B97="",C97=""),"",COUNTIFS($B$5:$B$154,$B97,C$5:C$154,C97))</f>
        <v/>
      </c>
      <c r="J97" s="20" t="str">
        <f aca="false">IF(OR($B97="",D97=""),"",COUNTIFS($B$5:$B$154,$B97,D$5:D$154,D97))</f>
        <v/>
      </c>
      <c r="K97" s="20" t="str">
        <f aca="false">IF(OR($B97="",E97=""),"",COUNTIFS($B$5:$B$154,$B97,E$5:E$154,E97))</f>
        <v/>
      </c>
      <c r="L97" s="20" t="str">
        <f aca="false">IF(OR($B97="",F97=""),"",COUNTIFS($B$5:$B$154,$B97,F$5:F$154,F97))</f>
        <v/>
      </c>
      <c r="M97" s="20" t="str">
        <f aca="false">IF(OR($B97="",G97=""),"",COUNTIFS($B$5:$B$154,$B97,G$5:G$154,G97))</f>
        <v/>
      </c>
      <c r="N97" s="20" t="n">
        <f aca="false">IF(A97="",0,IF(COUNTIF($A$5:A97,A97)=1,1,0))</f>
        <v>0</v>
      </c>
    </row>
    <row r="98" customFormat="false" ht="15" hidden="false" customHeight="false" outlineLevel="0" collapsed="false">
      <c r="A98" s="12"/>
      <c r="B98" s="12"/>
      <c r="C98" s="12"/>
      <c r="D98" s="12"/>
      <c r="E98" s="12"/>
      <c r="F98" s="12"/>
      <c r="G98" s="12"/>
      <c r="H98" s="21"/>
      <c r="I98" s="20" t="str">
        <f aca="false">IF(OR($B98="",C98=""),"",COUNTIFS($B$5:$B$154,$B98,C$5:C$154,C98))</f>
        <v/>
      </c>
      <c r="J98" s="20" t="str">
        <f aca="false">IF(OR($B98="",D98=""),"",COUNTIFS($B$5:$B$154,$B98,D$5:D$154,D98))</f>
        <v/>
      </c>
      <c r="K98" s="20" t="str">
        <f aca="false">IF(OR($B98="",E98=""),"",COUNTIFS($B$5:$B$154,$B98,E$5:E$154,E98))</f>
        <v/>
      </c>
      <c r="L98" s="20" t="str">
        <f aca="false">IF(OR($B98="",F98=""),"",COUNTIFS($B$5:$B$154,$B98,F$5:F$154,F98))</f>
        <v/>
      </c>
      <c r="M98" s="20" t="str">
        <f aca="false">IF(OR($B98="",G98=""),"",COUNTIFS($B$5:$B$154,$B98,G$5:G$154,G98))</f>
        <v/>
      </c>
      <c r="N98" s="20" t="n">
        <f aca="false">IF(A98="",0,IF(COUNTIF($A$5:A98,A98)=1,1,0))</f>
        <v>0</v>
      </c>
    </row>
    <row r="99" customFormat="false" ht="15" hidden="false" customHeight="false" outlineLevel="0" collapsed="false">
      <c r="A99" s="12"/>
      <c r="B99" s="12"/>
      <c r="C99" s="12"/>
      <c r="D99" s="12"/>
      <c r="E99" s="12"/>
      <c r="F99" s="12"/>
      <c r="G99" s="12"/>
      <c r="H99" s="21"/>
      <c r="I99" s="20" t="str">
        <f aca="false">IF(OR($B99="",C99=""),"",COUNTIFS($B$5:$B$154,$B99,C$5:C$154,C99))</f>
        <v/>
      </c>
      <c r="J99" s="20" t="str">
        <f aca="false">IF(OR($B99="",D99=""),"",COUNTIFS($B$5:$B$154,$B99,D$5:D$154,D99))</f>
        <v/>
      </c>
      <c r="K99" s="20" t="str">
        <f aca="false">IF(OR($B99="",E99=""),"",COUNTIFS($B$5:$B$154,$B99,E$5:E$154,E99))</f>
        <v/>
      </c>
      <c r="L99" s="20" t="str">
        <f aca="false">IF(OR($B99="",F99=""),"",COUNTIFS($B$5:$B$154,$B99,F$5:F$154,F99))</f>
        <v/>
      </c>
      <c r="M99" s="20" t="str">
        <f aca="false">IF(OR($B99="",G99=""),"",COUNTIFS($B$5:$B$154,$B99,G$5:G$154,G99))</f>
        <v/>
      </c>
      <c r="N99" s="20" t="n">
        <f aca="false">IF(A99="",0,IF(COUNTIF($A$5:A99,A99)=1,1,0))</f>
        <v>0</v>
      </c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12"/>
      <c r="G100" s="12"/>
      <c r="H100" s="21"/>
      <c r="I100" s="20" t="str">
        <f aca="false">IF(OR($B100="",C100=""),"",COUNTIFS($B$5:$B$154,$B100,C$5:C$154,C100))</f>
        <v/>
      </c>
      <c r="J100" s="20" t="str">
        <f aca="false">IF(OR($B100="",D100=""),"",COUNTIFS($B$5:$B$154,$B100,D$5:D$154,D100))</f>
        <v/>
      </c>
      <c r="K100" s="20" t="str">
        <f aca="false">IF(OR($B100="",E100=""),"",COUNTIFS($B$5:$B$154,$B100,E$5:E$154,E100))</f>
        <v/>
      </c>
      <c r="L100" s="20" t="str">
        <f aca="false">IF(OR($B100="",F100=""),"",COUNTIFS($B$5:$B$154,$B100,F$5:F$154,F100))</f>
        <v/>
      </c>
      <c r="M100" s="20" t="str">
        <f aca="false">IF(OR($B100="",G100=""),"",COUNTIFS($B$5:$B$154,$B100,G$5:G$154,G100))</f>
        <v/>
      </c>
      <c r="N100" s="20" t="n">
        <f aca="false">IF(A100="",0,IF(COUNTIF($A$5:A100,A100)=1,1,0))</f>
        <v>0</v>
      </c>
    </row>
    <row r="101" customFormat="false" ht="15" hidden="false" customHeight="false" outlineLevel="0" collapsed="false">
      <c r="A101" s="12"/>
      <c r="B101" s="12"/>
      <c r="C101" s="12"/>
      <c r="D101" s="12"/>
      <c r="E101" s="12"/>
      <c r="F101" s="12"/>
      <c r="G101" s="12"/>
      <c r="H101" s="21"/>
      <c r="I101" s="20" t="str">
        <f aca="false">IF(OR($B101="",C101=""),"",COUNTIFS($B$5:$B$154,$B101,C$5:C$154,C101))</f>
        <v/>
      </c>
      <c r="J101" s="20" t="str">
        <f aca="false">IF(OR($B101="",D101=""),"",COUNTIFS($B$5:$B$154,$B101,D$5:D$154,D101))</f>
        <v/>
      </c>
      <c r="K101" s="20" t="str">
        <f aca="false">IF(OR($B101="",E101=""),"",COUNTIFS($B$5:$B$154,$B101,E$5:E$154,E101))</f>
        <v/>
      </c>
      <c r="L101" s="20" t="str">
        <f aca="false">IF(OR($B101="",F101=""),"",COUNTIFS($B$5:$B$154,$B101,F$5:F$154,F101))</f>
        <v/>
      </c>
      <c r="M101" s="20" t="str">
        <f aca="false">IF(OR($B101="",G101=""),"",COUNTIFS($B$5:$B$154,$B101,G$5:G$154,G101))</f>
        <v/>
      </c>
      <c r="N101" s="20" t="n">
        <f aca="false">IF(A101="",0,IF(COUNTIF($A$5:A101,A101)=1,1,0))</f>
        <v>0</v>
      </c>
    </row>
    <row r="102" customFormat="false" ht="15" hidden="false" customHeight="false" outlineLevel="0" collapsed="false">
      <c r="A102" s="12"/>
      <c r="B102" s="12"/>
      <c r="C102" s="12"/>
      <c r="D102" s="12"/>
      <c r="E102" s="12"/>
      <c r="F102" s="12"/>
      <c r="G102" s="12"/>
      <c r="H102" s="21"/>
      <c r="I102" s="20" t="str">
        <f aca="false">IF(OR($B102="",C102=""),"",COUNTIFS($B$5:$B$154,$B102,C$5:C$154,C102))</f>
        <v/>
      </c>
      <c r="J102" s="20" t="str">
        <f aca="false">IF(OR($B102="",D102=""),"",COUNTIFS($B$5:$B$154,$B102,D$5:D$154,D102))</f>
        <v/>
      </c>
      <c r="K102" s="20" t="str">
        <f aca="false">IF(OR($B102="",E102=""),"",COUNTIFS($B$5:$B$154,$B102,E$5:E$154,E102))</f>
        <v/>
      </c>
      <c r="L102" s="20" t="str">
        <f aca="false">IF(OR($B102="",F102=""),"",COUNTIFS($B$5:$B$154,$B102,F$5:F$154,F102))</f>
        <v/>
      </c>
      <c r="M102" s="20" t="str">
        <f aca="false">IF(OR($B102="",G102=""),"",COUNTIFS($B$5:$B$154,$B102,G$5:G$154,G102))</f>
        <v/>
      </c>
      <c r="N102" s="20" t="n">
        <f aca="false">IF(A102="",0,IF(COUNTIF($A$5:A102,A102)=1,1,0))</f>
        <v>0</v>
      </c>
    </row>
    <row r="103" customFormat="false" ht="15" hidden="false" customHeight="false" outlineLevel="0" collapsed="false">
      <c r="A103" s="12"/>
      <c r="B103" s="12"/>
      <c r="C103" s="12"/>
      <c r="D103" s="12"/>
      <c r="E103" s="12"/>
      <c r="F103" s="12"/>
      <c r="G103" s="12"/>
      <c r="H103" s="21"/>
      <c r="I103" s="20" t="str">
        <f aca="false">IF(OR($B103="",C103=""),"",COUNTIFS($B$5:$B$154,$B103,C$5:C$154,C103))</f>
        <v/>
      </c>
      <c r="J103" s="20" t="str">
        <f aca="false">IF(OR($B103="",D103=""),"",COUNTIFS($B$5:$B$154,$B103,D$5:D$154,D103))</f>
        <v/>
      </c>
      <c r="K103" s="20" t="str">
        <f aca="false">IF(OR($B103="",E103=""),"",COUNTIFS($B$5:$B$154,$B103,E$5:E$154,E103))</f>
        <v/>
      </c>
      <c r="L103" s="20" t="str">
        <f aca="false">IF(OR($B103="",F103=""),"",COUNTIFS($B$5:$B$154,$B103,F$5:F$154,F103))</f>
        <v/>
      </c>
      <c r="M103" s="20" t="str">
        <f aca="false">IF(OR($B103="",G103=""),"",COUNTIFS($B$5:$B$154,$B103,G$5:G$154,G103))</f>
        <v/>
      </c>
      <c r="N103" s="20" t="n">
        <f aca="false">IF(A103="",0,IF(COUNTIF($A$5:A103,A103)=1,1,0))</f>
        <v>0</v>
      </c>
    </row>
    <row r="104" customFormat="false" ht="15" hidden="false" customHeight="false" outlineLevel="0" collapsed="false">
      <c r="A104" s="12"/>
      <c r="B104" s="12"/>
      <c r="C104" s="12"/>
      <c r="D104" s="12"/>
      <c r="E104" s="12"/>
      <c r="F104" s="12"/>
      <c r="G104" s="12"/>
      <c r="H104" s="21"/>
      <c r="I104" s="20" t="str">
        <f aca="false">IF(OR($B104="",C104=""),"",COUNTIFS($B$5:$B$154,$B104,C$5:C$154,C104))</f>
        <v/>
      </c>
      <c r="J104" s="20" t="str">
        <f aca="false">IF(OR($B104="",D104=""),"",COUNTIFS($B$5:$B$154,$B104,D$5:D$154,D104))</f>
        <v/>
      </c>
      <c r="K104" s="20" t="str">
        <f aca="false">IF(OR($B104="",E104=""),"",COUNTIFS($B$5:$B$154,$B104,E$5:E$154,E104))</f>
        <v/>
      </c>
      <c r="L104" s="20" t="str">
        <f aca="false">IF(OR($B104="",F104=""),"",COUNTIFS($B$5:$B$154,$B104,F$5:F$154,F104))</f>
        <v/>
      </c>
      <c r="M104" s="20" t="str">
        <f aca="false">IF(OR($B104="",G104=""),"",COUNTIFS($B$5:$B$154,$B104,G$5:G$154,G104))</f>
        <v/>
      </c>
      <c r="N104" s="20" t="n">
        <f aca="false">IF(A104="",0,IF(COUNTIF($A$5:A104,A104)=1,1,0))</f>
        <v>0</v>
      </c>
    </row>
    <row r="105" customFormat="false" ht="15" hidden="false" customHeight="false" outlineLevel="0" collapsed="false">
      <c r="A105" s="12"/>
      <c r="B105" s="12"/>
      <c r="C105" s="12"/>
      <c r="D105" s="12"/>
      <c r="E105" s="12"/>
      <c r="F105" s="12"/>
      <c r="G105" s="12"/>
      <c r="H105" s="21"/>
      <c r="I105" s="20" t="str">
        <f aca="false">IF(OR($B105="",C105=""),"",COUNTIFS($B$5:$B$154,$B105,C$5:C$154,C105))</f>
        <v/>
      </c>
      <c r="J105" s="20" t="str">
        <f aca="false">IF(OR($B105="",D105=""),"",COUNTIFS($B$5:$B$154,$B105,D$5:D$154,D105))</f>
        <v/>
      </c>
      <c r="K105" s="20" t="str">
        <f aca="false">IF(OR($B105="",E105=""),"",COUNTIFS($B$5:$B$154,$B105,E$5:E$154,E105))</f>
        <v/>
      </c>
      <c r="L105" s="20" t="str">
        <f aca="false">IF(OR($B105="",F105=""),"",COUNTIFS($B$5:$B$154,$B105,F$5:F$154,F105))</f>
        <v/>
      </c>
      <c r="M105" s="20" t="str">
        <f aca="false">IF(OR($B105="",G105=""),"",COUNTIFS($B$5:$B$154,$B105,G$5:G$154,G105))</f>
        <v/>
      </c>
      <c r="N105" s="20" t="n">
        <f aca="false">IF(A105="",0,IF(COUNTIF($A$5:A105,A105)=1,1,0))</f>
        <v>0</v>
      </c>
    </row>
    <row r="106" customFormat="false" ht="15" hidden="false" customHeight="false" outlineLevel="0" collapsed="false">
      <c r="A106" s="12"/>
      <c r="B106" s="12"/>
      <c r="C106" s="12"/>
      <c r="D106" s="12"/>
      <c r="E106" s="12"/>
      <c r="F106" s="12"/>
      <c r="G106" s="12"/>
      <c r="H106" s="21"/>
      <c r="I106" s="20" t="str">
        <f aca="false">IF(OR($B106="",C106=""),"",COUNTIFS($B$5:$B$154,$B106,C$5:C$154,C106))</f>
        <v/>
      </c>
      <c r="J106" s="20" t="str">
        <f aca="false">IF(OR($B106="",D106=""),"",COUNTIFS($B$5:$B$154,$B106,D$5:D$154,D106))</f>
        <v/>
      </c>
      <c r="K106" s="20" t="str">
        <f aca="false">IF(OR($B106="",E106=""),"",COUNTIFS($B$5:$B$154,$B106,E$5:E$154,E106))</f>
        <v/>
      </c>
      <c r="L106" s="20" t="str">
        <f aca="false">IF(OR($B106="",F106=""),"",COUNTIFS($B$5:$B$154,$B106,F$5:F$154,F106))</f>
        <v/>
      </c>
      <c r="M106" s="20" t="str">
        <f aca="false">IF(OR($B106="",G106=""),"",COUNTIFS($B$5:$B$154,$B106,G$5:G$154,G106))</f>
        <v/>
      </c>
      <c r="N106" s="20" t="n">
        <f aca="false">IF(A106="",0,IF(COUNTIF($A$5:A106,A106)=1,1,0))</f>
        <v>0</v>
      </c>
    </row>
    <row r="107" customFormat="false" ht="15" hidden="false" customHeight="false" outlineLevel="0" collapsed="false">
      <c r="A107" s="12"/>
      <c r="B107" s="12"/>
      <c r="C107" s="12"/>
      <c r="D107" s="12"/>
      <c r="E107" s="12"/>
      <c r="F107" s="12"/>
      <c r="G107" s="12"/>
      <c r="H107" s="21"/>
      <c r="I107" s="20" t="str">
        <f aca="false">IF(OR($B107="",C107=""),"",COUNTIFS($B$5:$B$154,$B107,C$5:C$154,C107))</f>
        <v/>
      </c>
      <c r="J107" s="20" t="str">
        <f aca="false">IF(OR($B107="",D107=""),"",COUNTIFS($B$5:$B$154,$B107,D$5:D$154,D107))</f>
        <v/>
      </c>
      <c r="K107" s="20" t="str">
        <f aca="false">IF(OR($B107="",E107=""),"",COUNTIFS($B$5:$B$154,$B107,E$5:E$154,E107))</f>
        <v/>
      </c>
      <c r="L107" s="20" t="str">
        <f aca="false">IF(OR($B107="",F107=""),"",COUNTIFS($B$5:$B$154,$B107,F$5:F$154,F107))</f>
        <v/>
      </c>
      <c r="M107" s="20" t="str">
        <f aca="false">IF(OR($B107="",G107=""),"",COUNTIFS($B$5:$B$154,$B107,G$5:G$154,G107))</f>
        <v/>
      </c>
      <c r="N107" s="20" t="n">
        <f aca="false">IF(A107="",0,IF(COUNTIF($A$5:A107,A107)=1,1,0))</f>
        <v>0</v>
      </c>
    </row>
    <row r="108" customFormat="false" ht="15" hidden="false" customHeight="false" outlineLevel="0" collapsed="false">
      <c r="A108" s="12"/>
      <c r="B108" s="12"/>
      <c r="C108" s="12"/>
      <c r="D108" s="12"/>
      <c r="E108" s="12"/>
      <c r="F108" s="12"/>
      <c r="G108" s="12"/>
      <c r="H108" s="21"/>
      <c r="I108" s="20" t="str">
        <f aca="false">IF(OR($B108="",C108=""),"",COUNTIFS($B$5:$B$154,$B108,C$5:C$154,C108))</f>
        <v/>
      </c>
      <c r="J108" s="20" t="str">
        <f aca="false">IF(OR($B108="",D108=""),"",COUNTIFS($B$5:$B$154,$B108,D$5:D$154,D108))</f>
        <v/>
      </c>
      <c r="K108" s="20" t="str">
        <f aca="false">IF(OR($B108="",E108=""),"",COUNTIFS($B$5:$B$154,$B108,E$5:E$154,E108))</f>
        <v/>
      </c>
      <c r="L108" s="20" t="str">
        <f aca="false">IF(OR($B108="",F108=""),"",COUNTIFS($B$5:$B$154,$B108,F$5:F$154,F108))</f>
        <v/>
      </c>
      <c r="M108" s="20" t="str">
        <f aca="false">IF(OR($B108="",G108=""),"",COUNTIFS($B$5:$B$154,$B108,G$5:G$154,G108))</f>
        <v/>
      </c>
      <c r="N108" s="20" t="n">
        <f aca="false">IF(A108="",0,IF(COUNTIF($A$5:A108,A108)=1,1,0))</f>
        <v>0</v>
      </c>
    </row>
    <row r="109" customFormat="false" ht="15" hidden="false" customHeight="false" outlineLevel="0" collapsed="false">
      <c r="A109" s="12"/>
      <c r="B109" s="12"/>
      <c r="C109" s="12"/>
      <c r="D109" s="12"/>
      <c r="E109" s="12"/>
      <c r="F109" s="12"/>
      <c r="G109" s="12"/>
      <c r="H109" s="21"/>
      <c r="I109" s="20" t="str">
        <f aca="false">IF(OR($B109="",C109=""),"",COUNTIFS($B$5:$B$154,$B109,C$5:C$154,C109))</f>
        <v/>
      </c>
      <c r="J109" s="20" t="str">
        <f aca="false">IF(OR($B109="",D109=""),"",COUNTIFS($B$5:$B$154,$B109,D$5:D$154,D109))</f>
        <v/>
      </c>
      <c r="K109" s="20" t="str">
        <f aca="false">IF(OR($B109="",E109=""),"",COUNTIFS($B$5:$B$154,$B109,E$5:E$154,E109))</f>
        <v/>
      </c>
      <c r="L109" s="20" t="str">
        <f aca="false">IF(OR($B109="",F109=""),"",COUNTIFS($B$5:$B$154,$B109,F$5:F$154,F109))</f>
        <v/>
      </c>
      <c r="M109" s="20" t="str">
        <f aca="false">IF(OR($B109="",G109=""),"",COUNTIFS($B$5:$B$154,$B109,G$5:G$154,G109))</f>
        <v/>
      </c>
      <c r="N109" s="20" t="n">
        <f aca="false">IF(A109="",0,IF(COUNTIF($A$5:A109,A109)=1,1,0))</f>
        <v>0</v>
      </c>
    </row>
    <row r="110" customFormat="false" ht="15" hidden="false" customHeight="false" outlineLevel="0" collapsed="false">
      <c r="A110" s="12"/>
      <c r="B110" s="12"/>
      <c r="C110" s="12"/>
      <c r="D110" s="12"/>
      <c r="E110" s="12"/>
      <c r="F110" s="12"/>
      <c r="G110" s="12"/>
      <c r="H110" s="21"/>
      <c r="I110" s="20" t="str">
        <f aca="false">IF(OR($B110="",C110=""),"",COUNTIFS($B$5:$B$154,$B110,C$5:C$154,C110))</f>
        <v/>
      </c>
      <c r="J110" s="20" t="str">
        <f aca="false">IF(OR($B110="",D110=""),"",COUNTIFS($B$5:$B$154,$B110,D$5:D$154,D110))</f>
        <v/>
      </c>
      <c r="K110" s="20" t="str">
        <f aca="false">IF(OR($B110="",E110=""),"",COUNTIFS($B$5:$B$154,$B110,E$5:E$154,E110))</f>
        <v/>
      </c>
      <c r="L110" s="20" t="str">
        <f aca="false">IF(OR($B110="",F110=""),"",COUNTIFS($B$5:$B$154,$B110,F$5:F$154,F110))</f>
        <v/>
      </c>
      <c r="M110" s="20" t="str">
        <f aca="false">IF(OR($B110="",G110=""),"",COUNTIFS($B$5:$B$154,$B110,G$5:G$154,G110))</f>
        <v/>
      </c>
      <c r="N110" s="20" t="n">
        <f aca="false">IF(A110="",0,IF(COUNTIF($A$5:A110,A110)=1,1,0))</f>
        <v>0</v>
      </c>
    </row>
    <row r="111" customFormat="false" ht="15" hidden="false" customHeight="false" outlineLevel="0" collapsed="false">
      <c r="A111" s="12"/>
      <c r="B111" s="12"/>
      <c r="C111" s="12"/>
      <c r="D111" s="12"/>
      <c r="E111" s="12"/>
      <c r="F111" s="12"/>
      <c r="G111" s="12"/>
      <c r="H111" s="21"/>
      <c r="I111" s="20" t="str">
        <f aca="false">IF(OR($B111="",C111=""),"",COUNTIFS($B$5:$B$154,$B111,C$5:C$154,C111))</f>
        <v/>
      </c>
      <c r="J111" s="20" t="str">
        <f aca="false">IF(OR($B111="",D111=""),"",COUNTIFS($B$5:$B$154,$B111,D$5:D$154,D111))</f>
        <v/>
      </c>
      <c r="K111" s="20" t="str">
        <f aca="false">IF(OR($B111="",E111=""),"",COUNTIFS($B$5:$B$154,$B111,E$5:E$154,E111))</f>
        <v/>
      </c>
      <c r="L111" s="20" t="str">
        <f aca="false">IF(OR($B111="",F111=""),"",COUNTIFS($B$5:$B$154,$B111,F$5:F$154,F111))</f>
        <v/>
      </c>
      <c r="M111" s="20" t="str">
        <f aca="false">IF(OR($B111="",G111=""),"",COUNTIFS($B$5:$B$154,$B111,G$5:G$154,G111))</f>
        <v/>
      </c>
      <c r="N111" s="20" t="n">
        <f aca="false">IF(A111="",0,IF(COUNTIF($A$5:A111,A111)=1,1,0))</f>
        <v>0</v>
      </c>
    </row>
    <row r="112" customFormat="false" ht="15" hidden="false" customHeight="false" outlineLevel="0" collapsed="false">
      <c r="A112" s="12"/>
      <c r="B112" s="12"/>
      <c r="C112" s="12"/>
      <c r="D112" s="12"/>
      <c r="E112" s="12"/>
      <c r="F112" s="12"/>
      <c r="G112" s="12"/>
      <c r="H112" s="21"/>
      <c r="I112" s="20" t="str">
        <f aca="false">IF(OR($B112="",C112=""),"",COUNTIFS($B$5:$B$154,$B112,C$5:C$154,C112))</f>
        <v/>
      </c>
      <c r="J112" s="20" t="str">
        <f aca="false">IF(OR($B112="",D112=""),"",COUNTIFS($B$5:$B$154,$B112,D$5:D$154,D112))</f>
        <v/>
      </c>
      <c r="K112" s="20" t="str">
        <f aca="false">IF(OR($B112="",E112=""),"",COUNTIFS($B$5:$B$154,$B112,E$5:E$154,E112))</f>
        <v/>
      </c>
      <c r="L112" s="20" t="str">
        <f aca="false">IF(OR($B112="",F112=""),"",COUNTIFS($B$5:$B$154,$B112,F$5:F$154,F112))</f>
        <v/>
      </c>
      <c r="M112" s="20" t="str">
        <f aca="false">IF(OR($B112="",G112=""),"",COUNTIFS($B$5:$B$154,$B112,G$5:G$154,G112))</f>
        <v/>
      </c>
      <c r="N112" s="20" t="n">
        <f aca="false">IF(A112="",0,IF(COUNTIF($A$5:A112,A112)=1,1,0))</f>
        <v>0</v>
      </c>
    </row>
    <row r="113" customFormat="false" ht="15" hidden="false" customHeight="false" outlineLevel="0" collapsed="false">
      <c r="A113" s="12"/>
      <c r="B113" s="12"/>
      <c r="C113" s="12"/>
      <c r="D113" s="12"/>
      <c r="E113" s="12"/>
      <c r="F113" s="12"/>
      <c r="G113" s="12"/>
      <c r="H113" s="21"/>
      <c r="I113" s="20" t="str">
        <f aca="false">IF(OR($B113="",C113=""),"",COUNTIFS($B$5:$B$154,$B113,C$5:C$154,C113))</f>
        <v/>
      </c>
      <c r="J113" s="20" t="str">
        <f aca="false">IF(OR($B113="",D113=""),"",COUNTIFS($B$5:$B$154,$B113,D$5:D$154,D113))</f>
        <v/>
      </c>
      <c r="K113" s="20" t="str">
        <f aca="false">IF(OR($B113="",E113=""),"",COUNTIFS($B$5:$B$154,$B113,E$5:E$154,E113))</f>
        <v/>
      </c>
      <c r="L113" s="20" t="str">
        <f aca="false">IF(OR($B113="",F113=""),"",COUNTIFS($B$5:$B$154,$B113,F$5:F$154,F113))</f>
        <v/>
      </c>
      <c r="M113" s="20" t="str">
        <f aca="false">IF(OR($B113="",G113=""),"",COUNTIFS($B$5:$B$154,$B113,G$5:G$154,G113))</f>
        <v/>
      </c>
      <c r="N113" s="20" t="n">
        <f aca="false">IF(A113="",0,IF(COUNTIF($A$5:A113,A113)=1,1,0))</f>
        <v>0</v>
      </c>
    </row>
    <row r="114" customFormat="false" ht="15" hidden="false" customHeight="false" outlineLevel="0" collapsed="false">
      <c r="A114" s="12"/>
      <c r="B114" s="12"/>
      <c r="C114" s="12"/>
      <c r="D114" s="12"/>
      <c r="E114" s="12"/>
      <c r="F114" s="12"/>
      <c r="G114" s="12"/>
      <c r="H114" s="21"/>
      <c r="I114" s="20" t="str">
        <f aca="false">IF(OR($B114="",C114=""),"",COUNTIFS($B$5:$B$154,$B114,C$5:C$154,C114))</f>
        <v/>
      </c>
      <c r="J114" s="20" t="str">
        <f aca="false">IF(OR($B114="",D114=""),"",COUNTIFS($B$5:$B$154,$B114,D$5:D$154,D114))</f>
        <v/>
      </c>
      <c r="K114" s="20" t="str">
        <f aca="false">IF(OR($B114="",E114=""),"",COUNTIFS($B$5:$B$154,$B114,E$5:E$154,E114))</f>
        <v/>
      </c>
      <c r="L114" s="20" t="str">
        <f aca="false">IF(OR($B114="",F114=""),"",COUNTIFS($B$5:$B$154,$B114,F$5:F$154,F114))</f>
        <v/>
      </c>
      <c r="M114" s="20" t="str">
        <f aca="false">IF(OR($B114="",G114=""),"",COUNTIFS($B$5:$B$154,$B114,G$5:G$154,G114))</f>
        <v/>
      </c>
      <c r="N114" s="20" t="n">
        <f aca="false">IF(A114="",0,IF(COUNTIF($A$5:A114,A114)=1,1,0))</f>
        <v>0</v>
      </c>
    </row>
    <row r="115" customFormat="false" ht="15" hidden="false" customHeight="false" outlineLevel="0" collapsed="false">
      <c r="A115" s="12"/>
      <c r="B115" s="12"/>
      <c r="C115" s="12"/>
      <c r="D115" s="12"/>
      <c r="E115" s="12"/>
      <c r="F115" s="12"/>
      <c r="G115" s="12"/>
      <c r="H115" s="21"/>
      <c r="I115" s="20" t="str">
        <f aca="false">IF(OR($B115="",C115=""),"",COUNTIFS($B$5:$B$154,$B115,C$5:C$154,C115))</f>
        <v/>
      </c>
      <c r="J115" s="20" t="str">
        <f aca="false">IF(OR($B115="",D115=""),"",COUNTIFS($B$5:$B$154,$B115,D$5:D$154,D115))</f>
        <v/>
      </c>
      <c r="K115" s="20" t="str">
        <f aca="false">IF(OR($B115="",E115=""),"",COUNTIFS($B$5:$B$154,$B115,E$5:E$154,E115))</f>
        <v/>
      </c>
      <c r="L115" s="20" t="str">
        <f aca="false">IF(OR($B115="",F115=""),"",COUNTIFS($B$5:$B$154,$B115,F$5:F$154,F115))</f>
        <v/>
      </c>
      <c r="M115" s="20" t="str">
        <f aca="false">IF(OR($B115="",G115=""),"",COUNTIFS($B$5:$B$154,$B115,G$5:G$154,G115))</f>
        <v/>
      </c>
      <c r="N115" s="20" t="n">
        <f aca="false">IF(A115="",0,IF(COUNTIF($A$5:A115,A115)=1,1,0))</f>
        <v>0</v>
      </c>
    </row>
    <row r="116" customFormat="false" ht="15" hidden="false" customHeight="false" outlineLevel="0" collapsed="false">
      <c r="A116" s="12"/>
      <c r="B116" s="12"/>
      <c r="C116" s="12"/>
      <c r="D116" s="12"/>
      <c r="E116" s="12"/>
      <c r="F116" s="12"/>
      <c r="G116" s="12"/>
      <c r="H116" s="21"/>
      <c r="I116" s="20" t="str">
        <f aca="false">IF(OR($B116="",C116=""),"",COUNTIFS($B$5:$B$154,$B116,C$5:C$154,C116))</f>
        <v/>
      </c>
      <c r="J116" s="20" t="str">
        <f aca="false">IF(OR($B116="",D116=""),"",COUNTIFS($B$5:$B$154,$B116,D$5:D$154,D116))</f>
        <v/>
      </c>
      <c r="K116" s="20" t="str">
        <f aca="false">IF(OR($B116="",E116=""),"",COUNTIFS($B$5:$B$154,$B116,E$5:E$154,E116))</f>
        <v/>
      </c>
      <c r="L116" s="20" t="str">
        <f aca="false">IF(OR($B116="",F116=""),"",COUNTIFS($B$5:$B$154,$B116,F$5:F$154,F116))</f>
        <v/>
      </c>
      <c r="M116" s="20" t="str">
        <f aca="false">IF(OR($B116="",G116=""),"",COUNTIFS($B$5:$B$154,$B116,G$5:G$154,G116))</f>
        <v/>
      </c>
      <c r="N116" s="20" t="n">
        <f aca="false">IF(A116="",0,IF(COUNTIF($A$5:A116,A116)=1,1,0))</f>
        <v>0</v>
      </c>
    </row>
    <row r="117" customFormat="false" ht="15" hidden="false" customHeight="false" outlineLevel="0" collapsed="false">
      <c r="A117" s="12"/>
      <c r="B117" s="12"/>
      <c r="C117" s="12"/>
      <c r="D117" s="12"/>
      <c r="E117" s="12"/>
      <c r="F117" s="12"/>
      <c r="G117" s="12"/>
      <c r="H117" s="21"/>
      <c r="I117" s="20" t="str">
        <f aca="false">IF(OR($B117="",C117=""),"",COUNTIFS($B$5:$B$154,$B117,C$5:C$154,C117))</f>
        <v/>
      </c>
      <c r="J117" s="20" t="str">
        <f aca="false">IF(OR($B117="",D117=""),"",COUNTIFS($B$5:$B$154,$B117,D$5:D$154,D117))</f>
        <v/>
      </c>
      <c r="K117" s="20" t="str">
        <f aca="false">IF(OR($B117="",E117=""),"",COUNTIFS($B$5:$B$154,$B117,E$5:E$154,E117))</f>
        <v/>
      </c>
      <c r="L117" s="20" t="str">
        <f aca="false">IF(OR($B117="",F117=""),"",COUNTIFS($B$5:$B$154,$B117,F$5:F$154,F117))</f>
        <v/>
      </c>
      <c r="M117" s="20" t="str">
        <f aca="false">IF(OR($B117="",G117=""),"",COUNTIFS($B$5:$B$154,$B117,G$5:G$154,G117))</f>
        <v/>
      </c>
      <c r="N117" s="20" t="n">
        <f aca="false">IF(A117="",0,IF(COUNTIF($A$5:A117,A117)=1,1,0))</f>
        <v>0</v>
      </c>
    </row>
    <row r="118" customFormat="false" ht="15" hidden="false" customHeight="false" outlineLevel="0" collapsed="false">
      <c r="A118" s="12"/>
      <c r="B118" s="12"/>
      <c r="C118" s="12"/>
      <c r="D118" s="12"/>
      <c r="E118" s="12"/>
      <c r="F118" s="12"/>
      <c r="G118" s="12"/>
      <c r="H118" s="21"/>
      <c r="I118" s="20" t="str">
        <f aca="false">IF(OR($B118="",C118=""),"",COUNTIFS($B$5:$B$154,$B118,C$5:C$154,C118))</f>
        <v/>
      </c>
      <c r="J118" s="20" t="str">
        <f aca="false">IF(OR($B118="",D118=""),"",COUNTIFS($B$5:$B$154,$B118,D$5:D$154,D118))</f>
        <v/>
      </c>
      <c r="K118" s="20" t="str">
        <f aca="false">IF(OR($B118="",E118=""),"",COUNTIFS($B$5:$B$154,$B118,E$5:E$154,E118))</f>
        <v/>
      </c>
      <c r="L118" s="20" t="str">
        <f aca="false">IF(OR($B118="",F118=""),"",COUNTIFS($B$5:$B$154,$B118,F$5:F$154,F118))</f>
        <v/>
      </c>
      <c r="M118" s="20" t="str">
        <f aca="false">IF(OR($B118="",G118=""),"",COUNTIFS($B$5:$B$154,$B118,G$5:G$154,G118))</f>
        <v/>
      </c>
      <c r="N118" s="20" t="n">
        <f aca="false">IF(A118="",0,IF(COUNTIF($A$5:A118,A118)=1,1,0))</f>
        <v>0</v>
      </c>
    </row>
    <row r="119" customFormat="false" ht="15" hidden="false" customHeight="false" outlineLevel="0" collapsed="false">
      <c r="A119" s="12"/>
      <c r="B119" s="12"/>
      <c r="C119" s="12"/>
      <c r="D119" s="12"/>
      <c r="E119" s="12"/>
      <c r="F119" s="12"/>
      <c r="G119" s="12"/>
      <c r="H119" s="21"/>
      <c r="I119" s="20" t="str">
        <f aca="false">IF(OR($B119="",C119=""),"",COUNTIFS($B$5:$B$154,$B119,C$5:C$154,C119))</f>
        <v/>
      </c>
      <c r="J119" s="20" t="str">
        <f aca="false">IF(OR($B119="",D119=""),"",COUNTIFS($B$5:$B$154,$B119,D$5:D$154,D119))</f>
        <v/>
      </c>
      <c r="K119" s="20" t="str">
        <f aca="false">IF(OR($B119="",E119=""),"",COUNTIFS($B$5:$B$154,$B119,E$5:E$154,E119))</f>
        <v/>
      </c>
      <c r="L119" s="20" t="str">
        <f aca="false">IF(OR($B119="",F119=""),"",COUNTIFS($B$5:$B$154,$B119,F$5:F$154,F119))</f>
        <v/>
      </c>
      <c r="M119" s="20" t="str">
        <f aca="false">IF(OR($B119="",G119=""),"",COUNTIFS($B$5:$B$154,$B119,G$5:G$154,G119))</f>
        <v/>
      </c>
      <c r="N119" s="20" t="n">
        <f aca="false">IF(A119="",0,IF(COUNTIF($A$5:A119,A119)=1,1,0))</f>
        <v>0</v>
      </c>
    </row>
    <row r="120" customFormat="false" ht="15" hidden="false" customHeight="false" outlineLevel="0" collapsed="false">
      <c r="A120" s="12"/>
      <c r="B120" s="12"/>
      <c r="C120" s="12"/>
      <c r="D120" s="12"/>
      <c r="E120" s="12"/>
      <c r="F120" s="12"/>
      <c r="G120" s="12"/>
      <c r="H120" s="21"/>
      <c r="I120" s="20" t="str">
        <f aca="false">IF(OR($B120="",C120=""),"",COUNTIFS($B$5:$B$154,$B120,C$5:C$154,C120))</f>
        <v/>
      </c>
      <c r="J120" s="20" t="str">
        <f aca="false">IF(OR($B120="",D120=""),"",COUNTIFS($B$5:$B$154,$B120,D$5:D$154,D120))</f>
        <v/>
      </c>
      <c r="K120" s="20" t="str">
        <f aca="false">IF(OR($B120="",E120=""),"",COUNTIFS($B$5:$B$154,$B120,E$5:E$154,E120))</f>
        <v/>
      </c>
      <c r="L120" s="20" t="str">
        <f aca="false">IF(OR($B120="",F120=""),"",COUNTIFS($B$5:$B$154,$B120,F$5:F$154,F120))</f>
        <v/>
      </c>
      <c r="M120" s="20" t="str">
        <f aca="false">IF(OR($B120="",G120=""),"",COUNTIFS($B$5:$B$154,$B120,G$5:G$154,G120))</f>
        <v/>
      </c>
      <c r="N120" s="20" t="n">
        <f aca="false">IF(A120="",0,IF(COUNTIF($A$5:A120,A120)=1,1,0))</f>
        <v>0</v>
      </c>
    </row>
    <row r="121" customFormat="false" ht="15" hidden="false" customHeight="false" outlineLevel="0" collapsed="false">
      <c r="A121" s="12"/>
      <c r="B121" s="12"/>
      <c r="C121" s="12"/>
      <c r="D121" s="12"/>
      <c r="E121" s="12"/>
      <c r="F121" s="12"/>
      <c r="G121" s="12"/>
      <c r="H121" s="21"/>
      <c r="I121" s="20" t="str">
        <f aca="false">IF(OR($B121="",C121=""),"",COUNTIFS($B$5:$B$154,$B121,C$5:C$154,C121))</f>
        <v/>
      </c>
      <c r="J121" s="20" t="str">
        <f aca="false">IF(OR($B121="",D121=""),"",COUNTIFS($B$5:$B$154,$B121,D$5:D$154,D121))</f>
        <v/>
      </c>
      <c r="K121" s="20" t="str">
        <f aca="false">IF(OR($B121="",E121=""),"",COUNTIFS($B$5:$B$154,$B121,E$5:E$154,E121))</f>
        <v/>
      </c>
      <c r="L121" s="20" t="str">
        <f aca="false">IF(OR($B121="",F121=""),"",COUNTIFS($B$5:$B$154,$B121,F$5:F$154,F121))</f>
        <v/>
      </c>
      <c r="M121" s="20" t="str">
        <f aca="false">IF(OR($B121="",G121=""),"",COUNTIFS($B$5:$B$154,$B121,G$5:G$154,G121))</f>
        <v/>
      </c>
      <c r="N121" s="20" t="n">
        <f aca="false">IF(A121="",0,IF(COUNTIF($A$5:A121,A121)=1,1,0))</f>
        <v>0</v>
      </c>
    </row>
    <row r="122" customFormat="false" ht="15" hidden="false" customHeight="false" outlineLevel="0" collapsed="false">
      <c r="A122" s="12"/>
      <c r="B122" s="12"/>
      <c r="C122" s="12"/>
      <c r="D122" s="12"/>
      <c r="E122" s="12"/>
      <c r="F122" s="12"/>
      <c r="G122" s="12"/>
      <c r="H122" s="21"/>
      <c r="I122" s="20" t="str">
        <f aca="false">IF(OR($B122="",C122=""),"",COUNTIFS($B$5:$B$154,$B122,C$5:C$154,C122))</f>
        <v/>
      </c>
      <c r="J122" s="20" t="str">
        <f aca="false">IF(OR($B122="",D122=""),"",COUNTIFS($B$5:$B$154,$B122,D$5:D$154,D122))</f>
        <v/>
      </c>
      <c r="K122" s="20" t="str">
        <f aca="false">IF(OR($B122="",E122=""),"",COUNTIFS($B$5:$B$154,$B122,E$5:E$154,E122))</f>
        <v/>
      </c>
      <c r="L122" s="20" t="str">
        <f aca="false">IF(OR($B122="",F122=""),"",COUNTIFS($B$5:$B$154,$B122,F$5:F$154,F122))</f>
        <v/>
      </c>
      <c r="M122" s="20" t="str">
        <f aca="false">IF(OR($B122="",G122=""),"",COUNTIFS($B$5:$B$154,$B122,G$5:G$154,G122))</f>
        <v/>
      </c>
      <c r="N122" s="20" t="n">
        <f aca="false">IF(A122="",0,IF(COUNTIF($A$5:A122,A122)=1,1,0))</f>
        <v>0</v>
      </c>
    </row>
    <row r="123" customFormat="false" ht="15" hidden="false" customHeight="false" outlineLevel="0" collapsed="false">
      <c r="A123" s="12"/>
      <c r="B123" s="12"/>
      <c r="C123" s="12"/>
      <c r="D123" s="12"/>
      <c r="E123" s="12"/>
      <c r="F123" s="12"/>
      <c r="G123" s="12"/>
      <c r="H123" s="21"/>
      <c r="I123" s="20" t="str">
        <f aca="false">IF(OR($B123="",C123=""),"",COUNTIFS($B$5:$B$154,$B123,C$5:C$154,C123))</f>
        <v/>
      </c>
      <c r="J123" s="20" t="str">
        <f aca="false">IF(OR($B123="",D123=""),"",COUNTIFS($B$5:$B$154,$B123,D$5:D$154,D123))</f>
        <v/>
      </c>
      <c r="K123" s="20" t="str">
        <f aca="false">IF(OR($B123="",E123=""),"",COUNTIFS($B$5:$B$154,$B123,E$5:E$154,E123))</f>
        <v/>
      </c>
      <c r="L123" s="20" t="str">
        <f aca="false">IF(OR($B123="",F123=""),"",COUNTIFS($B$5:$B$154,$B123,F$5:F$154,F123))</f>
        <v/>
      </c>
      <c r="M123" s="20" t="str">
        <f aca="false">IF(OR($B123="",G123=""),"",COUNTIFS($B$5:$B$154,$B123,G$5:G$154,G123))</f>
        <v/>
      </c>
      <c r="N123" s="20" t="n">
        <f aca="false">IF(A123="",0,IF(COUNTIF($A$5:A123,A123)=1,1,0))</f>
        <v>0</v>
      </c>
    </row>
    <row r="124" customFormat="false" ht="15" hidden="false" customHeight="false" outlineLevel="0" collapsed="false">
      <c r="A124" s="12"/>
      <c r="B124" s="12"/>
      <c r="C124" s="12"/>
      <c r="D124" s="12"/>
      <c r="E124" s="12"/>
      <c r="F124" s="12"/>
      <c r="G124" s="12"/>
      <c r="H124" s="21"/>
      <c r="I124" s="20" t="str">
        <f aca="false">IF(OR($B124="",C124=""),"",COUNTIFS($B$5:$B$154,$B124,C$5:C$154,C124))</f>
        <v/>
      </c>
      <c r="J124" s="20" t="str">
        <f aca="false">IF(OR($B124="",D124=""),"",COUNTIFS($B$5:$B$154,$B124,D$5:D$154,D124))</f>
        <v/>
      </c>
      <c r="K124" s="20" t="str">
        <f aca="false">IF(OR($B124="",E124=""),"",COUNTIFS($B$5:$B$154,$B124,E$5:E$154,E124))</f>
        <v/>
      </c>
      <c r="L124" s="20" t="str">
        <f aca="false">IF(OR($B124="",F124=""),"",COUNTIFS($B$5:$B$154,$B124,F$5:F$154,F124))</f>
        <v/>
      </c>
      <c r="M124" s="20" t="str">
        <f aca="false">IF(OR($B124="",G124=""),"",COUNTIFS($B$5:$B$154,$B124,G$5:G$154,G124))</f>
        <v/>
      </c>
      <c r="N124" s="20" t="n">
        <f aca="false">IF(A124="",0,IF(COUNTIF($A$5:A124,A124)=1,1,0))</f>
        <v>0</v>
      </c>
    </row>
    <row r="125" customFormat="false" ht="15" hidden="false" customHeight="false" outlineLevel="0" collapsed="false">
      <c r="A125" s="12"/>
      <c r="B125" s="12"/>
      <c r="C125" s="12"/>
      <c r="D125" s="12"/>
      <c r="E125" s="12"/>
      <c r="F125" s="12"/>
      <c r="G125" s="12"/>
      <c r="H125" s="21"/>
      <c r="I125" s="20" t="str">
        <f aca="false">IF(OR($B125="",C125=""),"",COUNTIFS($B$5:$B$154,$B125,C$5:C$154,C125))</f>
        <v/>
      </c>
      <c r="J125" s="20" t="str">
        <f aca="false">IF(OR($B125="",D125=""),"",COUNTIFS($B$5:$B$154,$B125,D$5:D$154,D125))</f>
        <v/>
      </c>
      <c r="K125" s="20" t="str">
        <f aca="false">IF(OR($B125="",E125=""),"",COUNTIFS($B$5:$B$154,$B125,E$5:E$154,E125))</f>
        <v/>
      </c>
      <c r="L125" s="20" t="str">
        <f aca="false">IF(OR($B125="",F125=""),"",COUNTIFS($B$5:$B$154,$B125,F$5:F$154,F125))</f>
        <v/>
      </c>
      <c r="M125" s="20" t="str">
        <f aca="false">IF(OR($B125="",G125=""),"",COUNTIFS($B$5:$B$154,$B125,G$5:G$154,G125))</f>
        <v/>
      </c>
      <c r="N125" s="20" t="n">
        <f aca="false">IF(A125="",0,IF(COUNTIF($A$5:A125,A125)=1,1,0))</f>
        <v>0</v>
      </c>
    </row>
    <row r="126" customFormat="false" ht="15" hidden="false" customHeight="false" outlineLevel="0" collapsed="false">
      <c r="A126" s="12"/>
      <c r="B126" s="12"/>
      <c r="C126" s="12"/>
      <c r="D126" s="12"/>
      <c r="E126" s="12"/>
      <c r="F126" s="12"/>
      <c r="G126" s="12"/>
      <c r="H126" s="21"/>
      <c r="I126" s="20" t="str">
        <f aca="false">IF(OR($B126="",C126=""),"",COUNTIFS($B$5:$B$154,$B126,C$5:C$154,C126))</f>
        <v/>
      </c>
      <c r="J126" s="20" t="str">
        <f aca="false">IF(OR($B126="",D126=""),"",COUNTIFS($B$5:$B$154,$B126,D$5:D$154,D126))</f>
        <v/>
      </c>
      <c r="K126" s="20" t="str">
        <f aca="false">IF(OR($B126="",E126=""),"",COUNTIFS($B$5:$B$154,$B126,E$5:E$154,E126))</f>
        <v/>
      </c>
      <c r="L126" s="20" t="str">
        <f aca="false">IF(OR($B126="",F126=""),"",COUNTIFS($B$5:$B$154,$B126,F$5:F$154,F126))</f>
        <v/>
      </c>
      <c r="M126" s="20" t="str">
        <f aca="false">IF(OR($B126="",G126=""),"",COUNTIFS($B$5:$B$154,$B126,G$5:G$154,G126))</f>
        <v/>
      </c>
      <c r="N126" s="20" t="n">
        <f aca="false">IF(A126="",0,IF(COUNTIF($A$5:A126,A126)=1,1,0))</f>
        <v>0</v>
      </c>
    </row>
    <row r="127" customFormat="false" ht="15" hidden="false" customHeight="false" outlineLevel="0" collapsed="false">
      <c r="A127" s="12"/>
      <c r="B127" s="12"/>
      <c r="C127" s="12"/>
      <c r="D127" s="12"/>
      <c r="E127" s="12"/>
      <c r="F127" s="12"/>
      <c r="G127" s="12"/>
      <c r="H127" s="21"/>
      <c r="I127" s="20" t="str">
        <f aca="false">IF(OR($B127="",C127=""),"",COUNTIFS($B$5:$B$154,$B127,C$5:C$154,C127))</f>
        <v/>
      </c>
      <c r="J127" s="20" t="str">
        <f aca="false">IF(OR($B127="",D127=""),"",COUNTIFS($B$5:$B$154,$B127,D$5:D$154,D127))</f>
        <v/>
      </c>
      <c r="K127" s="20" t="str">
        <f aca="false">IF(OR($B127="",E127=""),"",COUNTIFS($B$5:$B$154,$B127,E$5:E$154,E127))</f>
        <v/>
      </c>
      <c r="L127" s="20" t="str">
        <f aca="false">IF(OR($B127="",F127=""),"",COUNTIFS($B$5:$B$154,$B127,F$5:F$154,F127))</f>
        <v/>
      </c>
      <c r="M127" s="20" t="str">
        <f aca="false">IF(OR($B127="",G127=""),"",COUNTIFS($B$5:$B$154,$B127,G$5:G$154,G127))</f>
        <v/>
      </c>
      <c r="N127" s="20" t="n">
        <f aca="false">IF(A127="",0,IF(COUNTIF($A$5:A127,A127)=1,1,0))</f>
        <v>0</v>
      </c>
    </row>
    <row r="128" customFormat="false" ht="15" hidden="false" customHeight="false" outlineLevel="0" collapsed="false">
      <c r="A128" s="12"/>
      <c r="B128" s="12"/>
      <c r="C128" s="12"/>
      <c r="D128" s="12"/>
      <c r="E128" s="12"/>
      <c r="F128" s="12"/>
      <c r="G128" s="12"/>
      <c r="H128" s="21"/>
      <c r="I128" s="20" t="str">
        <f aca="false">IF(OR($B128="",C128=""),"",COUNTIFS($B$5:$B$154,$B128,C$5:C$154,C128))</f>
        <v/>
      </c>
      <c r="J128" s="20" t="str">
        <f aca="false">IF(OR($B128="",D128=""),"",COUNTIFS($B$5:$B$154,$B128,D$5:D$154,D128))</f>
        <v/>
      </c>
      <c r="K128" s="20" t="str">
        <f aca="false">IF(OR($B128="",E128=""),"",COUNTIFS($B$5:$B$154,$B128,E$5:E$154,E128))</f>
        <v/>
      </c>
      <c r="L128" s="20" t="str">
        <f aca="false">IF(OR($B128="",F128=""),"",COUNTIFS($B$5:$B$154,$B128,F$5:F$154,F128))</f>
        <v/>
      </c>
      <c r="M128" s="20" t="str">
        <f aca="false">IF(OR($B128="",G128=""),"",COUNTIFS($B$5:$B$154,$B128,G$5:G$154,G128))</f>
        <v/>
      </c>
      <c r="N128" s="20" t="n">
        <f aca="false">IF(A128="",0,IF(COUNTIF($A$5:A128,A128)=1,1,0))</f>
        <v>0</v>
      </c>
    </row>
    <row r="129" customFormat="false" ht="15" hidden="false" customHeight="false" outlineLevel="0" collapsed="false">
      <c r="A129" s="12"/>
      <c r="B129" s="12"/>
      <c r="C129" s="12"/>
      <c r="D129" s="12"/>
      <c r="E129" s="12"/>
      <c r="F129" s="12"/>
      <c r="G129" s="12"/>
      <c r="H129" s="21"/>
      <c r="I129" s="20" t="str">
        <f aca="false">IF(OR($B129="",C129=""),"",COUNTIFS($B$5:$B$154,$B129,C$5:C$154,C129))</f>
        <v/>
      </c>
      <c r="J129" s="20" t="str">
        <f aca="false">IF(OR($B129="",D129=""),"",COUNTIFS($B$5:$B$154,$B129,D$5:D$154,D129))</f>
        <v/>
      </c>
      <c r="K129" s="20" t="str">
        <f aca="false">IF(OR($B129="",E129=""),"",COUNTIFS($B$5:$B$154,$B129,E$5:E$154,E129))</f>
        <v/>
      </c>
      <c r="L129" s="20" t="str">
        <f aca="false">IF(OR($B129="",F129=""),"",COUNTIFS($B$5:$B$154,$B129,F$5:F$154,F129))</f>
        <v/>
      </c>
      <c r="M129" s="20" t="str">
        <f aca="false">IF(OR($B129="",G129=""),"",COUNTIFS($B$5:$B$154,$B129,G$5:G$154,G129))</f>
        <v/>
      </c>
      <c r="N129" s="20" t="n">
        <f aca="false">IF(A129="",0,IF(COUNTIF($A$5:A129,A129)=1,1,0))</f>
        <v>0</v>
      </c>
    </row>
    <row r="130" customFormat="false" ht="15" hidden="false" customHeight="false" outlineLevel="0" collapsed="false">
      <c r="A130" s="12"/>
      <c r="B130" s="12"/>
      <c r="C130" s="12"/>
      <c r="D130" s="12"/>
      <c r="E130" s="12"/>
      <c r="F130" s="12"/>
      <c r="G130" s="12"/>
      <c r="H130" s="21"/>
      <c r="I130" s="20" t="str">
        <f aca="false">IF(OR($B130="",C130=""),"",COUNTIFS($B$5:$B$154,$B130,C$5:C$154,C130))</f>
        <v/>
      </c>
      <c r="J130" s="20" t="str">
        <f aca="false">IF(OR($B130="",D130=""),"",COUNTIFS($B$5:$B$154,$B130,D$5:D$154,D130))</f>
        <v/>
      </c>
      <c r="K130" s="20" t="str">
        <f aca="false">IF(OR($B130="",E130=""),"",COUNTIFS($B$5:$B$154,$B130,E$5:E$154,E130))</f>
        <v/>
      </c>
      <c r="L130" s="20" t="str">
        <f aca="false">IF(OR($B130="",F130=""),"",COUNTIFS($B$5:$B$154,$B130,F$5:F$154,F130))</f>
        <v/>
      </c>
      <c r="M130" s="20" t="str">
        <f aca="false">IF(OR($B130="",G130=""),"",COUNTIFS($B$5:$B$154,$B130,G$5:G$154,G130))</f>
        <v/>
      </c>
      <c r="N130" s="20" t="n">
        <f aca="false">IF(A130="",0,IF(COUNTIF($A$5:A130,A130)=1,1,0))</f>
        <v>0</v>
      </c>
    </row>
    <row r="131" customFormat="false" ht="15" hidden="false" customHeight="false" outlineLevel="0" collapsed="false">
      <c r="A131" s="12"/>
      <c r="B131" s="12"/>
      <c r="C131" s="12"/>
      <c r="D131" s="12"/>
      <c r="E131" s="12"/>
      <c r="F131" s="12"/>
      <c r="G131" s="12"/>
      <c r="H131" s="21"/>
      <c r="I131" s="20" t="str">
        <f aca="false">IF(OR($B131="",C131=""),"",COUNTIFS($B$5:$B$154,$B131,C$5:C$154,C131))</f>
        <v/>
      </c>
      <c r="J131" s="20" t="str">
        <f aca="false">IF(OR($B131="",D131=""),"",COUNTIFS($B$5:$B$154,$B131,D$5:D$154,D131))</f>
        <v/>
      </c>
      <c r="K131" s="20" t="str">
        <f aca="false">IF(OR($B131="",E131=""),"",COUNTIFS($B$5:$B$154,$B131,E$5:E$154,E131))</f>
        <v/>
      </c>
      <c r="L131" s="20" t="str">
        <f aca="false">IF(OR($B131="",F131=""),"",COUNTIFS($B$5:$B$154,$B131,F$5:F$154,F131))</f>
        <v/>
      </c>
      <c r="M131" s="20" t="str">
        <f aca="false">IF(OR($B131="",G131=""),"",COUNTIFS($B$5:$B$154,$B131,G$5:G$154,G131))</f>
        <v/>
      </c>
      <c r="N131" s="20" t="n">
        <f aca="false">IF(A131="",0,IF(COUNTIF($A$5:A131,A131)=1,1,0))</f>
        <v>0</v>
      </c>
    </row>
    <row r="132" customFormat="false" ht="15" hidden="false" customHeight="false" outlineLevel="0" collapsed="false">
      <c r="A132" s="12"/>
      <c r="B132" s="12"/>
      <c r="C132" s="12"/>
      <c r="D132" s="12"/>
      <c r="E132" s="12"/>
      <c r="F132" s="12"/>
      <c r="G132" s="12"/>
      <c r="H132" s="21"/>
      <c r="I132" s="20" t="str">
        <f aca="false">IF(OR($B132="",C132=""),"",COUNTIFS($B$5:$B$154,$B132,C$5:C$154,C132))</f>
        <v/>
      </c>
      <c r="J132" s="20" t="str">
        <f aca="false">IF(OR($B132="",D132=""),"",COUNTIFS($B$5:$B$154,$B132,D$5:D$154,D132))</f>
        <v/>
      </c>
      <c r="K132" s="20" t="str">
        <f aca="false">IF(OR($B132="",E132=""),"",COUNTIFS($B$5:$B$154,$B132,E$5:E$154,E132))</f>
        <v/>
      </c>
      <c r="L132" s="20" t="str">
        <f aca="false">IF(OR($B132="",F132=""),"",COUNTIFS($B$5:$B$154,$B132,F$5:F$154,F132))</f>
        <v/>
      </c>
      <c r="M132" s="20" t="str">
        <f aca="false">IF(OR($B132="",G132=""),"",COUNTIFS($B$5:$B$154,$B132,G$5:G$154,G132))</f>
        <v/>
      </c>
      <c r="N132" s="20" t="n">
        <f aca="false">IF(A132="",0,IF(COUNTIF($A$5:A132,A132)=1,1,0))</f>
        <v>0</v>
      </c>
    </row>
    <row r="133" customFormat="false" ht="15" hidden="false" customHeight="false" outlineLevel="0" collapsed="false">
      <c r="A133" s="12"/>
      <c r="B133" s="12"/>
      <c r="C133" s="12"/>
      <c r="D133" s="12"/>
      <c r="E133" s="12"/>
      <c r="F133" s="12"/>
      <c r="G133" s="12"/>
      <c r="H133" s="21"/>
      <c r="I133" s="20" t="str">
        <f aca="false">IF(OR($B133="",C133=""),"",COUNTIFS($B$5:$B$154,$B133,C$5:C$154,C133))</f>
        <v/>
      </c>
      <c r="J133" s="20" t="str">
        <f aca="false">IF(OR($B133="",D133=""),"",COUNTIFS($B$5:$B$154,$B133,D$5:D$154,D133))</f>
        <v/>
      </c>
      <c r="K133" s="20" t="str">
        <f aca="false">IF(OR($B133="",E133=""),"",COUNTIFS($B$5:$B$154,$B133,E$5:E$154,E133))</f>
        <v/>
      </c>
      <c r="L133" s="20" t="str">
        <f aca="false">IF(OR($B133="",F133=""),"",COUNTIFS($B$5:$B$154,$B133,F$5:F$154,F133))</f>
        <v/>
      </c>
      <c r="M133" s="20" t="str">
        <f aca="false">IF(OR($B133="",G133=""),"",COUNTIFS($B$5:$B$154,$B133,G$5:G$154,G133))</f>
        <v/>
      </c>
      <c r="N133" s="20" t="n">
        <f aca="false">IF(A133="",0,IF(COUNTIF($A$5:A133,A133)=1,1,0))</f>
        <v>0</v>
      </c>
    </row>
    <row r="134" customFormat="false" ht="15" hidden="false" customHeight="false" outlineLevel="0" collapsed="false">
      <c r="A134" s="12"/>
      <c r="B134" s="12"/>
      <c r="C134" s="12"/>
      <c r="D134" s="12"/>
      <c r="E134" s="12"/>
      <c r="F134" s="12"/>
      <c r="G134" s="12"/>
      <c r="H134" s="21"/>
      <c r="I134" s="20" t="str">
        <f aca="false">IF(OR($B134="",C134=""),"",COUNTIFS($B$5:$B$154,$B134,C$5:C$154,C134))</f>
        <v/>
      </c>
      <c r="J134" s="20" t="str">
        <f aca="false">IF(OR($B134="",D134=""),"",COUNTIFS($B$5:$B$154,$B134,D$5:D$154,D134))</f>
        <v/>
      </c>
      <c r="K134" s="20" t="str">
        <f aca="false">IF(OR($B134="",E134=""),"",COUNTIFS($B$5:$B$154,$B134,E$5:E$154,E134))</f>
        <v/>
      </c>
      <c r="L134" s="20" t="str">
        <f aca="false">IF(OR($B134="",F134=""),"",COUNTIFS($B$5:$B$154,$B134,F$5:F$154,F134))</f>
        <v/>
      </c>
      <c r="M134" s="20" t="str">
        <f aca="false">IF(OR($B134="",G134=""),"",COUNTIFS($B$5:$B$154,$B134,G$5:G$154,G134))</f>
        <v/>
      </c>
      <c r="N134" s="20" t="n">
        <f aca="false">IF(A134="",0,IF(COUNTIF($A$5:A134,A134)=1,1,0))</f>
        <v>0</v>
      </c>
    </row>
    <row r="135" customFormat="false" ht="15" hidden="false" customHeight="false" outlineLevel="0" collapsed="false">
      <c r="A135" s="12"/>
      <c r="B135" s="12"/>
      <c r="C135" s="12"/>
      <c r="D135" s="12"/>
      <c r="E135" s="12"/>
      <c r="F135" s="12"/>
      <c r="G135" s="12"/>
      <c r="H135" s="21"/>
      <c r="I135" s="20" t="str">
        <f aca="false">IF(OR($B135="",C135=""),"",COUNTIFS($B$5:$B$154,$B135,C$5:C$154,C135))</f>
        <v/>
      </c>
      <c r="J135" s="20" t="str">
        <f aca="false">IF(OR($B135="",D135=""),"",COUNTIFS($B$5:$B$154,$B135,D$5:D$154,D135))</f>
        <v/>
      </c>
      <c r="K135" s="20" t="str">
        <f aca="false">IF(OR($B135="",E135=""),"",COUNTIFS($B$5:$B$154,$B135,E$5:E$154,E135))</f>
        <v/>
      </c>
      <c r="L135" s="20" t="str">
        <f aca="false">IF(OR($B135="",F135=""),"",COUNTIFS($B$5:$B$154,$B135,F$5:F$154,F135))</f>
        <v/>
      </c>
      <c r="M135" s="20" t="str">
        <f aca="false">IF(OR($B135="",G135=""),"",COUNTIFS($B$5:$B$154,$B135,G$5:G$154,G135))</f>
        <v/>
      </c>
      <c r="N135" s="20" t="n">
        <f aca="false">IF(A135="",0,IF(COUNTIF($A$5:A135,A135)=1,1,0))</f>
        <v>0</v>
      </c>
    </row>
    <row r="136" customFormat="false" ht="15" hidden="false" customHeight="false" outlineLevel="0" collapsed="false">
      <c r="A136" s="12"/>
      <c r="B136" s="12"/>
      <c r="C136" s="12"/>
      <c r="D136" s="12"/>
      <c r="E136" s="12"/>
      <c r="F136" s="12"/>
      <c r="G136" s="12"/>
      <c r="H136" s="21"/>
      <c r="I136" s="20" t="str">
        <f aca="false">IF(OR($B136="",C136=""),"",COUNTIFS($B$5:$B$154,$B136,C$5:C$154,C136))</f>
        <v/>
      </c>
      <c r="J136" s="20" t="str">
        <f aca="false">IF(OR($B136="",D136=""),"",COUNTIFS($B$5:$B$154,$B136,D$5:D$154,D136))</f>
        <v/>
      </c>
      <c r="K136" s="20" t="str">
        <f aca="false">IF(OR($B136="",E136=""),"",COUNTIFS($B$5:$B$154,$B136,E$5:E$154,E136))</f>
        <v/>
      </c>
      <c r="L136" s="20" t="str">
        <f aca="false">IF(OR($B136="",F136=""),"",COUNTIFS($B$5:$B$154,$B136,F$5:F$154,F136))</f>
        <v/>
      </c>
      <c r="M136" s="20" t="str">
        <f aca="false">IF(OR($B136="",G136=""),"",COUNTIFS($B$5:$B$154,$B136,G$5:G$154,G136))</f>
        <v/>
      </c>
      <c r="N136" s="20" t="n">
        <f aca="false">IF(A136="",0,IF(COUNTIF($A$5:A136,A136)=1,1,0))</f>
        <v>0</v>
      </c>
    </row>
    <row r="137" customFormat="false" ht="15" hidden="false" customHeight="false" outlineLevel="0" collapsed="false">
      <c r="A137" s="12"/>
      <c r="B137" s="12"/>
      <c r="C137" s="12"/>
      <c r="D137" s="12"/>
      <c r="E137" s="12"/>
      <c r="F137" s="12"/>
      <c r="G137" s="12"/>
      <c r="H137" s="21"/>
      <c r="I137" s="20" t="str">
        <f aca="false">IF(OR($B137="",C137=""),"",COUNTIFS($B$5:$B$154,$B137,C$5:C$154,C137))</f>
        <v/>
      </c>
      <c r="J137" s="20" t="str">
        <f aca="false">IF(OR($B137="",D137=""),"",COUNTIFS($B$5:$B$154,$B137,D$5:D$154,D137))</f>
        <v/>
      </c>
      <c r="K137" s="20" t="str">
        <f aca="false">IF(OR($B137="",E137=""),"",COUNTIFS($B$5:$B$154,$B137,E$5:E$154,E137))</f>
        <v/>
      </c>
      <c r="L137" s="20" t="str">
        <f aca="false">IF(OR($B137="",F137=""),"",COUNTIFS($B$5:$B$154,$B137,F$5:F$154,F137))</f>
        <v/>
      </c>
      <c r="M137" s="20" t="str">
        <f aca="false">IF(OR($B137="",G137=""),"",COUNTIFS($B$5:$B$154,$B137,G$5:G$154,G137))</f>
        <v/>
      </c>
      <c r="N137" s="20" t="n">
        <f aca="false">IF(A137="",0,IF(COUNTIF($A$5:A137,A137)=1,1,0))</f>
        <v>0</v>
      </c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12"/>
      <c r="G138" s="12"/>
      <c r="H138" s="21"/>
      <c r="I138" s="20" t="str">
        <f aca="false">IF(OR($B138="",C138=""),"",COUNTIFS($B$5:$B$154,$B138,C$5:C$154,C138))</f>
        <v/>
      </c>
      <c r="J138" s="20" t="str">
        <f aca="false">IF(OR($B138="",D138=""),"",COUNTIFS($B$5:$B$154,$B138,D$5:D$154,D138))</f>
        <v/>
      </c>
      <c r="K138" s="20" t="str">
        <f aca="false">IF(OR($B138="",E138=""),"",COUNTIFS($B$5:$B$154,$B138,E$5:E$154,E138))</f>
        <v/>
      </c>
      <c r="L138" s="20" t="str">
        <f aca="false">IF(OR($B138="",F138=""),"",COUNTIFS($B$5:$B$154,$B138,F$5:F$154,F138))</f>
        <v/>
      </c>
      <c r="M138" s="20" t="str">
        <f aca="false">IF(OR($B138="",G138=""),"",COUNTIFS($B$5:$B$154,$B138,G$5:G$154,G138))</f>
        <v/>
      </c>
      <c r="N138" s="20" t="n">
        <f aca="false">IF(A138="",0,IF(COUNTIF($A$5:A138,A138)=1,1,0))</f>
        <v>0</v>
      </c>
    </row>
    <row r="139" customFormat="false" ht="15" hidden="false" customHeight="false" outlineLevel="0" collapsed="false">
      <c r="A139" s="12"/>
      <c r="B139" s="12"/>
      <c r="C139" s="12"/>
      <c r="D139" s="12"/>
      <c r="E139" s="12"/>
      <c r="F139" s="12"/>
      <c r="G139" s="12"/>
      <c r="H139" s="21"/>
      <c r="I139" s="20" t="str">
        <f aca="false">IF(OR($B139="",C139=""),"",COUNTIFS($B$5:$B$154,$B139,C$5:C$154,C139))</f>
        <v/>
      </c>
      <c r="J139" s="20" t="str">
        <f aca="false">IF(OR($B139="",D139=""),"",COUNTIFS($B$5:$B$154,$B139,D$5:D$154,D139))</f>
        <v/>
      </c>
      <c r="K139" s="20" t="str">
        <f aca="false">IF(OR($B139="",E139=""),"",COUNTIFS($B$5:$B$154,$B139,E$5:E$154,E139))</f>
        <v/>
      </c>
      <c r="L139" s="20" t="str">
        <f aca="false">IF(OR($B139="",F139=""),"",COUNTIFS($B$5:$B$154,$B139,F$5:F$154,F139))</f>
        <v/>
      </c>
      <c r="M139" s="20" t="str">
        <f aca="false">IF(OR($B139="",G139=""),"",COUNTIFS($B$5:$B$154,$B139,G$5:G$154,G139))</f>
        <v/>
      </c>
      <c r="N139" s="20" t="n">
        <f aca="false">IF(A139="",0,IF(COUNTIF($A$5:A139,A139)=1,1,0))</f>
        <v>0</v>
      </c>
    </row>
    <row r="140" customFormat="false" ht="15" hidden="false" customHeight="false" outlineLevel="0" collapsed="false">
      <c r="A140" s="12"/>
      <c r="B140" s="12"/>
      <c r="C140" s="12"/>
      <c r="D140" s="12"/>
      <c r="E140" s="12"/>
      <c r="F140" s="12"/>
      <c r="G140" s="12"/>
      <c r="H140" s="21"/>
      <c r="I140" s="20" t="str">
        <f aca="false">IF(OR($B140="",C140=""),"",COUNTIFS($B$5:$B$154,$B140,C$5:C$154,C140))</f>
        <v/>
      </c>
      <c r="J140" s="20" t="str">
        <f aca="false">IF(OR($B140="",D140=""),"",COUNTIFS($B$5:$B$154,$B140,D$5:D$154,D140))</f>
        <v/>
      </c>
      <c r="K140" s="20" t="str">
        <f aca="false">IF(OR($B140="",E140=""),"",COUNTIFS($B$5:$B$154,$B140,E$5:E$154,E140))</f>
        <v/>
      </c>
      <c r="L140" s="20" t="str">
        <f aca="false">IF(OR($B140="",F140=""),"",COUNTIFS($B$5:$B$154,$B140,F$5:F$154,F140))</f>
        <v/>
      </c>
      <c r="M140" s="20" t="str">
        <f aca="false">IF(OR($B140="",G140=""),"",COUNTIFS($B$5:$B$154,$B140,G$5:G$154,G140))</f>
        <v/>
      </c>
      <c r="N140" s="20" t="n">
        <f aca="false">IF(A140="",0,IF(COUNTIF($A$5:A140,A140)=1,1,0))</f>
        <v>0</v>
      </c>
    </row>
    <row r="141" customFormat="false" ht="15" hidden="false" customHeight="false" outlineLevel="0" collapsed="false">
      <c r="A141" s="12"/>
      <c r="B141" s="12"/>
      <c r="C141" s="12"/>
      <c r="D141" s="12"/>
      <c r="E141" s="12"/>
      <c r="F141" s="12"/>
      <c r="G141" s="12"/>
      <c r="H141" s="21"/>
      <c r="I141" s="20" t="str">
        <f aca="false">IF(OR($B141="",C141=""),"",COUNTIFS($B$5:$B$154,$B141,C$5:C$154,C141))</f>
        <v/>
      </c>
      <c r="J141" s="20" t="str">
        <f aca="false">IF(OR($B141="",D141=""),"",COUNTIFS($B$5:$B$154,$B141,D$5:D$154,D141))</f>
        <v/>
      </c>
      <c r="K141" s="20" t="str">
        <f aca="false">IF(OR($B141="",E141=""),"",COUNTIFS($B$5:$B$154,$B141,E$5:E$154,E141))</f>
        <v/>
      </c>
      <c r="L141" s="20" t="str">
        <f aca="false">IF(OR($B141="",F141=""),"",COUNTIFS($B$5:$B$154,$B141,F$5:F$154,F141))</f>
        <v/>
      </c>
      <c r="M141" s="20" t="str">
        <f aca="false">IF(OR($B141="",G141=""),"",COUNTIFS($B$5:$B$154,$B141,G$5:G$154,G141))</f>
        <v/>
      </c>
      <c r="N141" s="20" t="n">
        <f aca="false">IF(A141="",0,IF(COUNTIF($A$5:A141,A141)=1,1,0))</f>
        <v>0</v>
      </c>
    </row>
    <row r="142" customFormat="false" ht="15" hidden="false" customHeight="false" outlineLevel="0" collapsed="false">
      <c r="A142" s="12"/>
      <c r="B142" s="12"/>
      <c r="C142" s="12"/>
      <c r="D142" s="12"/>
      <c r="E142" s="12"/>
      <c r="F142" s="12"/>
      <c r="G142" s="12"/>
      <c r="H142" s="21"/>
      <c r="I142" s="20" t="str">
        <f aca="false">IF(OR($B142="",C142=""),"",COUNTIFS($B$5:$B$154,$B142,C$5:C$154,C142))</f>
        <v/>
      </c>
      <c r="J142" s="20" t="str">
        <f aca="false">IF(OR($B142="",D142=""),"",COUNTIFS($B$5:$B$154,$B142,D$5:D$154,D142))</f>
        <v/>
      </c>
      <c r="K142" s="20" t="str">
        <f aca="false">IF(OR($B142="",E142=""),"",COUNTIFS($B$5:$B$154,$B142,E$5:E$154,E142))</f>
        <v/>
      </c>
      <c r="L142" s="20" t="str">
        <f aca="false">IF(OR($B142="",F142=""),"",COUNTIFS($B$5:$B$154,$B142,F$5:F$154,F142))</f>
        <v/>
      </c>
      <c r="M142" s="20" t="str">
        <f aca="false">IF(OR($B142="",G142=""),"",COUNTIFS($B$5:$B$154,$B142,G$5:G$154,G142))</f>
        <v/>
      </c>
      <c r="N142" s="20" t="n">
        <f aca="false">IF(A142="",0,IF(COUNTIF($A$5:A142,A142)=1,1,0))</f>
        <v>0</v>
      </c>
    </row>
    <row r="143" customFormat="false" ht="15" hidden="false" customHeight="false" outlineLevel="0" collapsed="false">
      <c r="A143" s="12"/>
      <c r="B143" s="12"/>
      <c r="C143" s="12"/>
      <c r="D143" s="12"/>
      <c r="E143" s="12"/>
      <c r="F143" s="12"/>
      <c r="G143" s="12"/>
      <c r="H143" s="21"/>
      <c r="I143" s="20" t="str">
        <f aca="false">IF(OR($B143="",C143=""),"",COUNTIFS($B$5:$B$154,$B143,C$5:C$154,C143))</f>
        <v/>
      </c>
      <c r="J143" s="20" t="str">
        <f aca="false">IF(OR($B143="",D143=""),"",COUNTIFS($B$5:$B$154,$B143,D$5:D$154,D143))</f>
        <v/>
      </c>
      <c r="K143" s="20" t="str">
        <f aca="false">IF(OR($B143="",E143=""),"",COUNTIFS($B$5:$B$154,$B143,E$5:E$154,E143))</f>
        <v/>
      </c>
      <c r="L143" s="20" t="str">
        <f aca="false">IF(OR($B143="",F143=""),"",COUNTIFS($B$5:$B$154,$B143,F$5:F$154,F143))</f>
        <v/>
      </c>
      <c r="M143" s="20" t="str">
        <f aca="false">IF(OR($B143="",G143=""),"",COUNTIFS($B$5:$B$154,$B143,G$5:G$154,G143))</f>
        <v/>
      </c>
      <c r="N143" s="20" t="n">
        <f aca="false">IF(A143="",0,IF(COUNTIF($A$5:A143,A143)=1,1,0))</f>
        <v>0</v>
      </c>
    </row>
    <row r="144" customFormat="false" ht="15" hidden="false" customHeight="false" outlineLevel="0" collapsed="false">
      <c r="A144" s="12"/>
      <c r="B144" s="12"/>
      <c r="C144" s="12"/>
      <c r="D144" s="12"/>
      <c r="E144" s="12"/>
      <c r="F144" s="12"/>
      <c r="G144" s="12"/>
      <c r="H144" s="21"/>
      <c r="I144" s="20" t="str">
        <f aca="false">IF(OR($B144="",C144=""),"",COUNTIFS($B$5:$B$154,$B144,C$5:C$154,C144))</f>
        <v/>
      </c>
      <c r="J144" s="20" t="str">
        <f aca="false">IF(OR($B144="",D144=""),"",COUNTIFS($B$5:$B$154,$B144,D$5:D$154,D144))</f>
        <v/>
      </c>
      <c r="K144" s="20" t="str">
        <f aca="false">IF(OR($B144="",E144=""),"",COUNTIFS($B$5:$B$154,$B144,E$5:E$154,E144))</f>
        <v/>
      </c>
      <c r="L144" s="20" t="str">
        <f aca="false">IF(OR($B144="",F144=""),"",COUNTIFS($B$5:$B$154,$B144,F$5:F$154,F144))</f>
        <v/>
      </c>
      <c r="M144" s="20" t="str">
        <f aca="false">IF(OR($B144="",G144=""),"",COUNTIFS($B$5:$B$154,$B144,G$5:G$154,G144))</f>
        <v/>
      </c>
      <c r="N144" s="20" t="n">
        <f aca="false">IF(A144="",0,IF(COUNTIF($A$5:A144,A144)=1,1,0))</f>
        <v>0</v>
      </c>
    </row>
    <row r="145" customFormat="false" ht="15" hidden="false" customHeight="false" outlineLevel="0" collapsed="false">
      <c r="A145" s="12"/>
      <c r="B145" s="12"/>
      <c r="C145" s="12"/>
      <c r="D145" s="12"/>
      <c r="E145" s="12"/>
      <c r="F145" s="12"/>
      <c r="G145" s="12"/>
      <c r="H145" s="21"/>
      <c r="I145" s="20" t="str">
        <f aca="false">IF(OR($B145="",C145=""),"",COUNTIFS($B$5:$B$154,$B145,C$5:C$154,C145))</f>
        <v/>
      </c>
      <c r="J145" s="20" t="str">
        <f aca="false">IF(OR($B145="",D145=""),"",COUNTIFS($B$5:$B$154,$B145,D$5:D$154,D145))</f>
        <v/>
      </c>
      <c r="K145" s="20" t="str">
        <f aca="false">IF(OR($B145="",E145=""),"",COUNTIFS($B$5:$B$154,$B145,E$5:E$154,E145))</f>
        <v/>
      </c>
      <c r="L145" s="20" t="str">
        <f aca="false">IF(OR($B145="",F145=""),"",COUNTIFS($B$5:$B$154,$B145,F$5:F$154,F145))</f>
        <v/>
      </c>
      <c r="M145" s="20" t="str">
        <f aca="false">IF(OR($B145="",G145=""),"",COUNTIFS($B$5:$B$154,$B145,G$5:G$154,G145))</f>
        <v/>
      </c>
      <c r="N145" s="20" t="n">
        <f aca="false">IF(A145="",0,IF(COUNTIF($A$5:A145,A145)=1,1,0))</f>
        <v>0</v>
      </c>
    </row>
    <row r="146" customFormat="false" ht="15" hidden="false" customHeight="false" outlineLevel="0" collapsed="false">
      <c r="A146" s="12"/>
      <c r="B146" s="12"/>
      <c r="C146" s="12"/>
      <c r="D146" s="12"/>
      <c r="E146" s="12"/>
      <c r="F146" s="12"/>
      <c r="G146" s="12"/>
      <c r="H146" s="21"/>
      <c r="I146" s="20" t="str">
        <f aca="false">IF(OR($B146="",C146=""),"",COUNTIFS($B$5:$B$154,$B146,C$5:C$154,C146))</f>
        <v/>
      </c>
      <c r="J146" s="20" t="str">
        <f aca="false">IF(OR($B146="",D146=""),"",COUNTIFS($B$5:$B$154,$B146,D$5:D$154,D146))</f>
        <v/>
      </c>
      <c r="K146" s="20" t="str">
        <f aca="false">IF(OR($B146="",E146=""),"",COUNTIFS($B$5:$B$154,$B146,E$5:E$154,E146))</f>
        <v/>
      </c>
      <c r="L146" s="20" t="str">
        <f aca="false">IF(OR($B146="",F146=""),"",COUNTIFS($B$5:$B$154,$B146,F$5:F$154,F146))</f>
        <v/>
      </c>
      <c r="M146" s="20" t="str">
        <f aca="false">IF(OR($B146="",G146=""),"",COUNTIFS($B$5:$B$154,$B146,G$5:G$154,G146))</f>
        <v/>
      </c>
      <c r="N146" s="20" t="n">
        <f aca="false">IF(A146="",0,IF(COUNTIF($A$5:A146,A146)=1,1,0))</f>
        <v>0</v>
      </c>
    </row>
    <row r="147" customFormat="false" ht="15" hidden="false" customHeight="false" outlineLevel="0" collapsed="false">
      <c r="A147" s="12"/>
      <c r="B147" s="12"/>
      <c r="C147" s="12"/>
      <c r="D147" s="12"/>
      <c r="E147" s="12"/>
      <c r="F147" s="12"/>
      <c r="G147" s="12"/>
      <c r="H147" s="21"/>
      <c r="I147" s="20" t="str">
        <f aca="false">IF(OR($B147="",C147=""),"",COUNTIFS($B$5:$B$154,$B147,C$5:C$154,C147))</f>
        <v/>
      </c>
      <c r="J147" s="20" t="str">
        <f aca="false">IF(OR($B147="",D147=""),"",COUNTIFS($B$5:$B$154,$B147,D$5:D$154,D147))</f>
        <v/>
      </c>
      <c r="K147" s="20" t="str">
        <f aca="false">IF(OR($B147="",E147=""),"",COUNTIFS($B$5:$B$154,$B147,E$5:E$154,E147))</f>
        <v/>
      </c>
      <c r="L147" s="20" t="str">
        <f aca="false">IF(OR($B147="",F147=""),"",COUNTIFS($B$5:$B$154,$B147,F$5:F$154,F147))</f>
        <v/>
      </c>
      <c r="M147" s="20" t="str">
        <f aca="false">IF(OR($B147="",G147=""),"",COUNTIFS($B$5:$B$154,$B147,G$5:G$154,G147))</f>
        <v/>
      </c>
      <c r="N147" s="20" t="n">
        <f aca="false">IF(A147="",0,IF(COUNTIF($A$5:A147,A147)=1,1,0))</f>
        <v>0</v>
      </c>
    </row>
    <row r="148" customFormat="false" ht="15" hidden="false" customHeight="false" outlineLevel="0" collapsed="false">
      <c r="A148" s="12"/>
      <c r="B148" s="12"/>
      <c r="C148" s="12"/>
      <c r="D148" s="12"/>
      <c r="E148" s="12"/>
      <c r="F148" s="12"/>
      <c r="G148" s="12"/>
      <c r="H148" s="21"/>
      <c r="I148" s="20" t="str">
        <f aca="false">IF(OR($B148="",C148=""),"",COUNTIFS($B$5:$B$154,$B148,C$5:C$154,C148))</f>
        <v/>
      </c>
      <c r="J148" s="20" t="str">
        <f aca="false">IF(OR($B148="",D148=""),"",COUNTIFS($B$5:$B$154,$B148,D$5:D$154,D148))</f>
        <v/>
      </c>
      <c r="K148" s="20" t="str">
        <f aca="false">IF(OR($B148="",E148=""),"",COUNTIFS($B$5:$B$154,$B148,E$5:E$154,E148))</f>
        <v/>
      </c>
      <c r="L148" s="20" t="str">
        <f aca="false">IF(OR($B148="",F148=""),"",COUNTIFS($B$5:$B$154,$B148,F$5:F$154,F148))</f>
        <v/>
      </c>
      <c r="M148" s="20" t="str">
        <f aca="false">IF(OR($B148="",G148=""),"",COUNTIFS($B$5:$B$154,$B148,G$5:G$154,G148))</f>
        <v/>
      </c>
      <c r="N148" s="20" t="n">
        <f aca="false">IF(A148="",0,IF(COUNTIF($A$5:A148,A148)=1,1,0))</f>
        <v>0</v>
      </c>
    </row>
    <row r="149" customFormat="false" ht="15" hidden="false" customHeight="false" outlineLevel="0" collapsed="false">
      <c r="A149" s="12"/>
      <c r="B149" s="12"/>
      <c r="C149" s="12"/>
      <c r="D149" s="12"/>
      <c r="E149" s="12"/>
      <c r="F149" s="12"/>
      <c r="G149" s="12"/>
      <c r="H149" s="21"/>
      <c r="I149" s="20" t="str">
        <f aca="false">IF(OR($B149="",C149=""),"",COUNTIFS($B$5:$B$154,$B149,C$5:C$154,C149))</f>
        <v/>
      </c>
      <c r="J149" s="20" t="str">
        <f aca="false">IF(OR($B149="",D149=""),"",COUNTIFS($B$5:$B$154,$B149,D$5:D$154,D149))</f>
        <v/>
      </c>
      <c r="K149" s="20" t="str">
        <f aca="false">IF(OR($B149="",E149=""),"",COUNTIFS($B$5:$B$154,$B149,E$5:E$154,E149))</f>
        <v/>
      </c>
      <c r="L149" s="20" t="str">
        <f aca="false">IF(OR($B149="",F149=""),"",COUNTIFS($B$5:$B$154,$B149,F$5:F$154,F149))</f>
        <v/>
      </c>
      <c r="M149" s="20" t="str">
        <f aca="false">IF(OR($B149="",G149=""),"",COUNTIFS($B$5:$B$154,$B149,G$5:G$154,G149))</f>
        <v/>
      </c>
      <c r="N149" s="20" t="n">
        <f aca="false">IF(A149="",0,IF(COUNTIF($A$5:A149,A149)=1,1,0))</f>
        <v>0</v>
      </c>
    </row>
    <row r="150" customFormat="false" ht="15" hidden="false" customHeight="false" outlineLevel="0" collapsed="false">
      <c r="A150" s="12"/>
      <c r="B150" s="12"/>
      <c r="C150" s="12"/>
      <c r="D150" s="12"/>
      <c r="E150" s="12"/>
      <c r="F150" s="12"/>
      <c r="G150" s="12"/>
      <c r="H150" s="21"/>
      <c r="I150" s="20" t="str">
        <f aca="false">IF(OR($B150="",C150=""),"",COUNTIFS($B$5:$B$154,$B150,C$5:C$154,C150))</f>
        <v/>
      </c>
      <c r="J150" s="20" t="str">
        <f aca="false">IF(OR($B150="",D150=""),"",COUNTIFS($B$5:$B$154,$B150,D$5:D$154,D150))</f>
        <v/>
      </c>
      <c r="K150" s="20" t="str">
        <f aca="false">IF(OR($B150="",E150=""),"",COUNTIFS($B$5:$B$154,$B150,E$5:E$154,E150))</f>
        <v/>
      </c>
      <c r="L150" s="20" t="str">
        <f aca="false">IF(OR($B150="",F150=""),"",COUNTIFS($B$5:$B$154,$B150,F$5:F$154,F150))</f>
        <v/>
      </c>
      <c r="M150" s="20" t="str">
        <f aca="false">IF(OR($B150="",G150=""),"",COUNTIFS($B$5:$B$154,$B150,G$5:G$154,G150))</f>
        <v/>
      </c>
      <c r="N150" s="20" t="n">
        <f aca="false">IF(A150="",0,IF(COUNTIF($A$5:A150,A150)=1,1,0))</f>
        <v>0</v>
      </c>
    </row>
    <row r="151" customFormat="false" ht="15" hidden="false" customHeight="false" outlineLevel="0" collapsed="false">
      <c r="A151" s="12"/>
      <c r="B151" s="12"/>
      <c r="C151" s="12"/>
      <c r="D151" s="12"/>
      <c r="E151" s="12"/>
      <c r="F151" s="12"/>
      <c r="G151" s="12"/>
      <c r="H151" s="21"/>
      <c r="I151" s="20" t="str">
        <f aca="false">IF(OR($B151="",C151=""),"",COUNTIFS($B$5:$B$154,$B151,C$5:C$154,C151))</f>
        <v/>
      </c>
      <c r="J151" s="20" t="str">
        <f aca="false">IF(OR($B151="",D151=""),"",COUNTIFS($B$5:$B$154,$B151,D$5:D$154,D151))</f>
        <v/>
      </c>
      <c r="K151" s="20" t="str">
        <f aca="false">IF(OR($B151="",E151=""),"",COUNTIFS($B$5:$B$154,$B151,E$5:E$154,E151))</f>
        <v/>
      </c>
      <c r="L151" s="20" t="str">
        <f aca="false">IF(OR($B151="",F151=""),"",COUNTIFS($B$5:$B$154,$B151,F$5:F$154,F151))</f>
        <v/>
      </c>
      <c r="M151" s="20" t="str">
        <f aca="false">IF(OR($B151="",G151=""),"",COUNTIFS($B$5:$B$154,$B151,G$5:G$154,G151))</f>
        <v/>
      </c>
      <c r="N151" s="20" t="n">
        <f aca="false">IF(A151="",0,IF(COUNTIF($A$5:A151,A151)=1,1,0))</f>
        <v>0</v>
      </c>
    </row>
    <row r="152" customFormat="false" ht="15" hidden="false" customHeight="false" outlineLevel="0" collapsed="false">
      <c r="A152" s="12"/>
      <c r="B152" s="12"/>
      <c r="C152" s="12"/>
      <c r="D152" s="12"/>
      <c r="E152" s="12"/>
      <c r="F152" s="12"/>
      <c r="G152" s="12"/>
      <c r="H152" s="21"/>
      <c r="I152" s="20" t="str">
        <f aca="false">IF(OR($B152="",C152=""),"",COUNTIFS($B$5:$B$154,$B152,C$5:C$154,C152))</f>
        <v/>
      </c>
      <c r="J152" s="20" t="str">
        <f aca="false">IF(OR($B152="",D152=""),"",COUNTIFS($B$5:$B$154,$B152,D$5:D$154,D152))</f>
        <v/>
      </c>
      <c r="K152" s="20" t="str">
        <f aca="false">IF(OR($B152="",E152=""),"",COUNTIFS($B$5:$B$154,$B152,E$5:E$154,E152))</f>
        <v/>
      </c>
      <c r="L152" s="20" t="str">
        <f aca="false">IF(OR($B152="",F152=""),"",COUNTIFS($B$5:$B$154,$B152,F$5:F$154,F152))</f>
        <v/>
      </c>
      <c r="M152" s="20" t="str">
        <f aca="false">IF(OR($B152="",G152=""),"",COUNTIFS($B$5:$B$154,$B152,G$5:G$154,G152))</f>
        <v/>
      </c>
      <c r="N152" s="20" t="n">
        <f aca="false">IF(A152="",0,IF(COUNTIF($A$5:A152,A152)=1,1,0))</f>
        <v>0</v>
      </c>
    </row>
    <row r="153" customFormat="false" ht="15" hidden="false" customHeight="false" outlineLevel="0" collapsed="false">
      <c r="A153" s="12"/>
      <c r="B153" s="12"/>
      <c r="C153" s="12"/>
      <c r="D153" s="12"/>
      <c r="E153" s="12"/>
      <c r="F153" s="12"/>
      <c r="G153" s="12"/>
      <c r="H153" s="21"/>
      <c r="I153" s="20" t="str">
        <f aca="false">IF(OR($B153="",C153=""),"",COUNTIFS($B$5:$B$154,$B153,C$5:C$154,C153))</f>
        <v/>
      </c>
      <c r="J153" s="20" t="str">
        <f aca="false">IF(OR($B153="",D153=""),"",COUNTIFS($B$5:$B$154,$B153,D$5:D$154,D153))</f>
        <v/>
      </c>
      <c r="K153" s="20" t="str">
        <f aca="false">IF(OR($B153="",E153=""),"",COUNTIFS($B$5:$B$154,$B153,E$5:E$154,E153))</f>
        <v/>
      </c>
      <c r="L153" s="20" t="str">
        <f aca="false">IF(OR($B153="",F153=""),"",COUNTIFS($B$5:$B$154,$B153,F$5:F$154,F153))</f>
        <v/>
      </c>
      <c r="M153" s="20" t="str">
        <f aca="false">IF(OR($B153="",G153=""),"",COUNTIFS($B$5:$B$154,$B153,G$5:G$154,G153))</f>
        <v/>
      </c>
      <c r="N153" s="20" t="n">
        <f aca="false">IF(A153="",0,IF(COUNTIF($A$5:A153,A153)=1,1,0))</f>
        <v>0</v>
      </c>
    </row>
    <row r="154" customFormat="false" ht="15" hidden="false" customHeight="false" outlineLevel="0" collapsed="false">
      <c r="A154" s="12"/>
      <c r="B154" s="12"/>
      <c r="C154" s="12"/>
      <c r="D154" s="12"/>
      <c r="E154" s="12"/>
      <c r="F154" s="12"/>
      <c r="G154" s="12"/>
      <c r="H154" s="21"/>
      <c r="I154" s="20" t="str">
        <f aca="false">IF(OR($B154="",C154=""),"",COUNTIFS($B$5:$B$154,$B154,C$5:C$154,C154))</f>
        <v/>
      </c>
      <c r="J154" s="20" t="str">
        <f aca="false">IF(OR($B154="",D154=""),"",COUNTIFS($B$5:$B$154,$B154,D$5:D$154,D154))</f>
        <v/>
      </c>
      <c r="K154" s="20" t="str">
        <f aca="false">IF(OR($B154="",E154=""),"",COUNTIFS($B$5:$B$154,$B154,E$5:E$154,E154))</f>
        <v/>
      </c>
      <c r="L154" s="20" t="str">
        <f aca="false">IF(OR($B154="",F154=""),"",COUNTIFS($B$5:$B$154,$B154,F$5:F$154,F154))</f>
        <v/>
      </c>
      <c r="M154" s="20" t="str">
        <f aca="false">IF(OR($B154="",G154=""),"",COUNTIFS($B$5:$B$154,$B154,G$5:G$154,G154))</f>
        <v/>
      </c>
      <c r="N154" s="20" t="n">
        <f aca="false">IF(A154="",0,IF(COUNTIF($A$5:A154,A154)=1,1,0))</f>
        <v>0</v>
      </c>
    </row>
  </sheetData>
  <sheetProtection sheet="true" formatCells="false" formatColumns="false" formatRows="false"/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3" min="2" style="0" width="8"/>
    <col collapsed="false" customWidth="true" hidden="false" outlineLevel="0" max="14" min="14" style="0" width="15"/>
  </cols>
  <sheetData>
    <row r="1" customFormat="false" ht="25.5" hidden="false" customHeight="true" outlineLevel="0" collapsed="false">
      <c r="A1" s="1" t="s">
        <v>185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3.5" hidden="false" customHeight="true" outlineLevel="0" collapsed="false">
      <c r="A2" s="2" t="s">
        <v>186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5" hidden="false" customHeight="false" outlineLevel="0" collapsed="false">
      <c r="A4" s="15" t="s">
        <v>187</v>
      </c>
      <c r="B4" s="15" t="s">
        <v>188</v>
      </c>
      <c r="C4" s="15" t="s">
        <v>189</v>
      </c>
      <c r="D4" s="15" t="s">
        <v>190</v>
      </c>
      <c r="E4" s="15" t="s">
        <v>191</v>
      </c>
      <c r="F4" s="15" t="s">
        <v>192</v>
      </c>
      <c r="G4" s="15" t="s">
        <v>193</v>
      </c>
      <c r="H4" s="15" t="s">
        <v>194</v>
      </c>
      <c r="I4" s="15" t="s">
        <v>195</v>
      </c>
      <c r="J4" s="15" t="s">
        <v>196</v>
      </c>
      <c r="K4" s="15" t="s">
        <v>197</v>
      </c>
      <c r="L4" s="15" t="s">
        <v>198</v>
      </c>
      <c r="M4" s="15" t="s">
        <v>199</v>
      </c>
      <c r="N4" s="15" t="s">
        <v>200</v>
      </c>
    </row>
    <row r="5" customFormat="false" ht="15" hidden="false" customHeight="false" outlineLevel="0" collapsed="false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9" t="str">
        <f aca="false">IF(COUNT(B5:M5)=0,"",(AVERAGE(B5:M5)-1)*25)</f>
        <v/>
      </c>
    </row>
    <row r="6" customFormat="false" ht="15" hidden="false" customHeight="false" outlineLevel="0" collapsed="false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9" t="str">
        <f aca="false">IF(COUNT(B6:M6)=0,"",(AVERAGE(B6:M6)-1)*25)</f>
        <v/>
      </c>
    </row>
    <row r="7" customFormat="false" ht="15" hidden="false" customHeight="false" outlineLevel="0" collapsed="false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9" t="str">
        <f aca="false">IF(COUNT(B7:M7)=0,"",(AVERAGE(B7:M7)-1)*25)</f>
        <v/>
      </c>
    </row>
    <row r="8" customFormat="false" ht="15" hidden="false" customHeight="false" outlineLevel="0" collapsed="false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9" t="str">
        <f aca="false">IF(COUNT(B8:M8)=0,"",(AVERAGE(B8:M8)-1)*25)</f>
        <v/>
      </c>
    </row>
    <row r="9" customFormat="false" ht="15" hidden="false" customHeight="false" outlineLevel="0" collapsed="false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9" t="str">
        <f aca="false">IF(COUNT(B9:M9)=0,"",(AVERAGE(B9:M9)-1)*25)</f>
        <v/>
      </c>
    </row>
    <row r="10" customFormat="false" ht="15" hidden="false" customHeight="false" outlineLevel="0" collapsed="false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9" t="str">
        <f aca="false">IF(COUNT(B10:M10)=0,"",(AVERAGE(B10:M10)-1)*25)</f>
        <v/>
      </c>
    </row>
    <row r="11" customFormat="false" ht="15" hidden="false" customHeight="false" outlineLevel="0" collapsed="false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9" t="str">
        <f aca="false">IF(COUNT(B11:M11)=0,"",(AVERAGE(B11:M11)-1)*25)</f>
        <v/>
      </c>
    </row>
    <row r="12" customFormat="false" ht="15" hidden="false" customHeight="false" outlineLevel="0" collapsed="false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9" t="str">
        <f aca="false">IF(COUNT(B12:M12)=0,"",(AVERAGE(B12:M12)-1)*25)</f>
        <v/>
      </c>
    </row>
    <row r="13" customFormat="false" ht="15" hidden="false" customHeight="false" outlineLevel="0" collapsed="false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9" t="str">
        <f aca="false">IF(COUNT(B13:M13)=0,"",(AVERAGE(B13:M13)-1)*25)</f>
        <v/>
      </c>
    </row>
    <row r="14" customFormat="false" ht="15" hidden="false" customHeight="false" outlineLevel="0" collapsed="false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9" t="str">
        <f aca="false">IF(COUNT(B14:M14)=0,"",(AVERAGE(B14:M14)-1)*25)</f>
        <v/>
      </c>
    </row>
    <row r="15" customFormat="false" ht="15" hidden="false" customHeight="false" outlineLevel="0" collapsed="false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9" t="str">
        <f aca="false">IF(COUNT(B15:M15)=0,"",(AVERAGE(B15:M15)-1)*25)</f>
        <v/>
      </c>
    </row>
    <row r="16" customFormat="false" ht="15" hidden="false" customHeight="false" outlineLevel="0" collapsed="false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9" t="str">
        <f aca="false">IF(COUNT(B16:M16)=0,"",(AVERAGE(B16:M16)-1)*25)</f>
        <v/>
      </c>
    </row>
    <row r="17" customFormat="false" ht="15" hidden="false" customHeight="false" outlineLevel="0" collapsed="false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9" t="str">
        <f aca="false">IF(COUNT(B17:M17)=0,"",(AVERAGE(B17:M17)-1)*25)</f>
        <v/>
      </c>
    </row>
    <row r="18" customFormat="false" ht="15" hidden="false" customHeight="false" outlineLevel="0" collapsed="false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9" t="str">
        <f aca="false">IF(COUNT(B18:M18)=0,"",(AVERAGE(B18:M18)-1)*25)</f>
        <v/>
      </c>
    </row>
    <row r="19" customFormat="false" ht="15" hidden="false" customHeight="false" outlineLevel="0" collapsed="false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9" t="str">
        <f aca="false">IF(COUNT(B19:M19)=0,"",(AVERAGE(B19:M19)-1)*25)</f>
        <v/>
      </c>
    </row>
    <row r="20" customFormat="false" ht="15" hidden="false" customHeight="false" outlineLevel="0" collapsed="false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9" t="str">
        <f aca="false">IF(COUNT(B20:M20)=0,"",(AVERAGE(B20:M20)-1)*25)</f>
        <v/>
      </c>
    </row>
    <row r="21" customFormat="false" ht="15" hidden="false" customHeight="false" outlineLevel="0" collapsed="false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9" t="str">
        <f aca="false">IF(COUNT(B21:M21)=0,"",(AVERAGE(B21:M21)-1)*25)</f>
        <v/>
      </c>
    </row>
    <row r="22" customFormat="false" ht="15" hidden="false" customHeight="false" outlineLevel="0" collapsed="false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9" t="str">
        <f aca="false">IF(COUNT(B22:M22)=0,"",(AVERAGE(B22:M22)-1)*25)</f>
        <v/>
      </c>
    </row>
    <row r="23" customFormat="false" ht="15" hidden="false" customHeight="false" outlineLevel="0" collapsed="false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9" t="str">
        <f aca="false">IF(COUNT(B23:M23)=0,"",(AVERAGE(B23:M23)-1)*25)</f>
        <v/>
      </c>
    </row>
    <row r="24" customFormat="false" ht="15" hidden="false" customHeight="false" outlineLevel="0" collapsed="false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9" t="str">
        <f aca="false">IF(COUNT(B24:M24)=0,"",(AVERAGE(B24:M24)-1)*25)</f>
        <v/>
      </c>
    </row>
    <row r="25" customFormat="false" ht="15" hidden="false" customHeight="false" outlineLevel="0" collapsed="false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9" t="str">
        <f aca="false">IF(COUNT(B25:M25)=0,"",(AVERAGE(B25:M25)-1)*25)</f>
        <v/>
      </c>
    </row>
    <row r="26" customFormat="false" ht="15" hidden="false" customHeight="false" outlineLevel="0" collapsed="false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9" t="str">
        <f aca="false">IF(COUNT(B26:M26)=0,"",(AVERAGE(B26:M26)-1)*25)</f>
        <v/>
      </c>
    </row>
    <row r="27" customFormat="false" ht="15" hidden="false" customHeight="false" outlineLevel="0" collapsed="false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9" t="str">
        <f aca="false">IF(COUNT(B27:M27)=0,"",(AVERAGE(B27:M27)-1)*25)</f>
        <v/>
      </c>
    </row>
    <row r="28" customFormat="false" ht="15" hidden="false" customHeight="false" outlineLevel="0" collapsed="false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9" t="str">
        <f aca="false">IF(COUNT(B28:M28)=0,"",(AVERAGE(B28:M28)-1)*25)</f>
        <v/>
      </c>
    </row>
    <row r="29" customFormat="false" ht="15" hidden="false" customHeight="false" outlineLevel="0" collapsed="false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9" t="str">
        <f aca="false">IF(COUNT(B29:M29)=0,"",(AVERAGE(B29:M29)-1)*25)</f>
        <v/>
      </c>
    </row>
    <row r="30" customFormat="false" ht="15" hidden="false" customHeight="false" outlineLevel="0" collapsed="false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9" t="str">
        <f aca="false">IF(COUNT(B30:M30)=0,"",(AVERAGE(B30:M30)-1)*25)</f>
        <v/>
      </c>
    </row>
    <row r="31" customFormat="false" ht="15" hidden="false" customHeight="false" outlineLevel="0" collapsed="false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9" t="str">
        <f aca="false">IF(COUNT(B31:M31)=0,"",(AVERAGE(B31:M31)-1)*25)</f>
        <v/>
      </c>
    </row>
    <row r="32" customFormat="false" ht="15" hidden="false" customHeight="false" outlineLevel="0" collapsed="false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9" t="str">
        <f aca="false">IF(COUNT(B32:M32)=0,"",(AVERAGE(B32:M32)-1)*25)</f>
        <v/>
      </c>
    </row>
    <row r="33" customFormat="false" ht="15" hidden="false" customHeight="false" outlineLevel="0" collapsed="false">
      <c r="A33" s="1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9" t="str">
        <f aca="false">IF(COUNT(B33:M33)=0,"",(AVERAGE(B33:M33)-1)*25)</f>
        <v/>
      </c>
    </row>
    <row r="34" customFormat="false" ht="15" hidden="false" customHeight="false" outlineLevel="0" collapsed="false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9" t="str">
        <f aca="false">IF(COUNT(B34:M34)=0,"",(AVERAGE(B34:M34)-1)*25)</f>
        <v/>
      </c>
    </row>
    <row r="35" customFormat="false" ht="15" hidden="false" customHeight="false" outlineLevel="0" collapsed="false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9" t="str">
        <f aca="false">IF(COUNT(B35:M35)=0,"",(AVERAGE(B35:M35)-1)*25)</f>
        <v/>
      </c>
    </row>
    <row r="36" customFormat="false" ht="15" hidden="false" customHeight="false" outlineLevel="0" collapsed="false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9" t="str">
        <f aca="false">IF(COUNT(B36:M36)=0,"",(AVERAGE(B36:M36)-1)*25)</f>
        <v/>
      </c>
    </row>
    <row r="37" customFormat="false" ht="15" hidden="false" customHeight="false" outlineLevel="0" collapsed="false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9" t="str">
        <f aca="false">IF(COUNT(B37:M37)=0,"",(AVERAGE(B37:M37)-1)*25)</f>
        <v/>
      </c>
    </row>
    <row r="38" customFormat="false" ht="15" hidden="false" customHeight="false" outlineLevel="0" collapsed="false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9" t="str">
        <f aca="false">IF(COUNT(B38:M38)=0,"",(AVERAGE(B38:M38)-1)*25)</f>
        <v/>
      </c>
    </row>
    <row r="39" customFormat="false" ht="15" hidden="false" customHeight="false" outlineLevel="0" collapsed="false">
      <c r="A39" s="1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9" t="str">
        <f aca="false">IF(COUNT(B39:M39)=0,"",(AVERAGE(B39:M39)-1)*25)</f>
        <v/>
      </c>
    </row>
    <row r="40" customFormat="false" ht="15" hidden="false" customHeight="false" outlineLevel="0" collapsed="false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9" t="str">
        <f aca="false">IF(COUNT(B40:M40)=0,"",(AVERAGE(B40:M40)-1)*25)</f>
        <v/>
      </c>
    </row>
    <row r="41" customFormat="false" ht="15" hidden="false" customHeight="false" outlineLevel="0" collapsed="false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9" t="str">
        <f aca="false">IF(COUNT(B41:M41)=0,"",(AVERAGE(B41:M41)-1)*25)</f>
        <v/>
      </c>
    </row>
    <row r="42" customFormat="false" ht="15" hidden="false" customHeight="false" outlineLevel="0" collapsed="false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9" t="str">
        <f aca="false">IF(COUNT(B42:M42)=0,"",(AVERAGE(B42:M42)-1)*25)</f>
        <v/>
      </c>
    </row>
    <row r="43" customFormat="false" ht="15" hidden="false" customHeight="false" outlineLevel="0" collapsed="false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9" t="str">
        <f aca="false">IF(COUNT(B43:M43)=0,"",(AVERAGE(B43:M43)-1)*25)</f>
        <v/>
      </c>
    </row>
    <row r="44" customFormat="false" ht="15" hidden="false" customHeight="false" outlineLevel="0" collapsed="false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9" t="str">
        <f aca="false">IF(COUNT(B44:M44)=0,"",(AVERAGE(B44:M44)-1)*25)</f>
        <v/>
      </c>
    </row>
  </sheetData>
  <sheetProtection sheet="true" formatCells="false" formatColumns="false" formatRows="false"/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4" min="3" style="0" width="18"/>
    <col collapsed="false" customWidth="true" hidden="false" outlineLevel="0" max="5" min="5" style="0" width="10"/>
    <col collapsed="false" customWidth="true" hidden="false" outlineLevel="0" max="6" min="6" style="0" width="28"/>
    <col collapsed="false" customWidth="true" hidden="false" outlineLevel="0" max="7" min="7" style="0" width="13"/>
    <col collapsed="false" customWidth="true" hidden="false" outlineLevel="0" max="8" min="8" style="0" width="8"/>
  </cols>
  <sheetData>
    <row r="1" customFormat="false" ht="25.5" hidden="false" customHeight="true" outlineLevel="0" collapsed="false">
      <c r="A1" s="1" t="s">
        <v>201</v>
      </c>
      <c r="B1" s="1"/>
      <c r="C1" s="1"/>
      <c r="D1" s="1"/>
      <c r="E1" s="1"/>
      <c r="F1" s="1"/>
      <c r="G1" s="1"/>
      <c r="H1" s="1"/>
    </row>
    <row r="2" customFormat="false" ht="13.5" hidden="false" customHeight="true" outlineLevel="0" collapsed="false">
      <c r="A2" s="2" t="s">
        <v>202</v>
      </c>
      <c r="B2" s="2"/>
      <c r="C2" s="2"/>
      <c r="D2" s="2"/>
      <c r="E2" s="2"/>
      <c r="F2" s="2"/>
      <c r="G2" s="2"/>
      <c r="H2" s="2"/>
    </row>
    <row r="4" customFormat="false" ht="22.35" hidden="false" customHeight="false" outlineLevel="0" collapsed="false">
      <c r="A4" s="15" t="s">
        <v>172</v>
      </c>
      <c r="B4" s="15" t="s">
        <v>35</v>
      </c>
      <c r="C4" s="15" t="s">
        <v>203</v>
      </c>
      <c r="D4" s="15" t="s">
        <v>204</v>
      </c>
      <c r="E4" s="15" t="s">
        <v>205</v>
      </c>
      <c r="F4" s="15" t="s">
        <v>206</v>
      </c>
      <c r="G4" s="15" t="s">
        <v>207</v>
      </c>
      <c r="H4" s="15" t="s">
        <v>184</v>
      </c>
    </row>
    <row r="5" customFormat="false" ht="15" hidden="false" customHeight="false" outlineLevel="0" collapsed="false">
      <c r="A5" s="12"/>
      <c r="B5" s="12"/>
      <c r="C5" s="22"/>
      <c r="D5" s="22"/>
      <c r="E5" s="13"/>
      <c r="F5" s="12"/>
      <c r="G5" s="20" t="str">
        <f aca="false">IF(OR(C5="",D5=""),"",D5-C5)</f>
        <v/>
      </c>
      <c r="H5" s="20" t="n">
        <f aca="false">IF(A5="",0,IF(COUNTIF($A$5:A5,A5)=1,1,0))</f>
        <v>0</v>
      </c>
    </row>
    <row r="6" customFormat="false" ht="15" hidden="false" customHeight="false" outlineLevel="0" collapsed="false">
      <c r="A6" s="12"/>
      <c r="B6" s="12"/>
      <c r="C6" s="22"/>
      <c r="D6" s="22"/>
      <c r="E6" s="13"/>
      <c r="F6" s="12"/>
      <c r="G6" s="20" t="str">
        <f aca="false">IF(OR(C6="",D6=""),"",D6-C6)</f>
        <v/>
      </c>
      <c r="H6" s="20" t="n">
        <f aca="false">IF(A6="",0,IF(COUNTIF($A$5:A6,A6)=1,1,0))</f>
        <v>0</v>
      </c>
    </row>
    <row r="7" customFormat="false" ht="15" hidden="false" customHeight="false" outlineLevel="0" collapsed="false">
      <c r="A7" s="12"/>
      <c r="B7" s="12"/>
      <c r="C7" s="22"/>
      <c r="D7" s="22"/>
      <c r="E7" s="13"/>
      <c r="F7" s="12"/>
      <c r="G7" s="20" t="str">
        <f aca="false">IF(OR(C7="",D7=""),"",D7-C7)</f>
        <v/>
      </c>
      <c r="H7" s="20" t="n">
        <f aca="false">IF(A7="",0,IF(COUNTIF($A$5:A7,A7)=1,1,0))</f>
        <v>0</v>
      </c>
    </row>
    <row r="8" customFormat="false" ht="15" hidden="false" customHeight="false" outlineLevel="0" collapsed="false">
      <c r="A8" s="12"/>
      <c r="B8" s="12"/>
      <c r="C8" s="22"/>
      <c r="D8" s="22"/>
      <c r="E8" s="13"/>
      <c r="F8" s="12"/>
      <c r="G8" s="20" t="str">
        <f aca="false">IF(OR(C8="",D8=""),"",D8-C8)</f>
        <v/>
      </c>
      <c r="H8" s="20" t="n">
        <f aca="false">IF(A8="",0,IF(COUNTIF($A$5:A8,A8)=1,1,0))</f>
        <v>0</v>
      </c>
    </row>
    <row r="9" customFormat="false" ht="15" hidden="false" customHeight="false" outlineLevel="0" collapsed="false">
      <c r="A9" s="12"/>
      <c r="B9" s="12"/>
      <c r="C9" s="22"/>
      <c r="D9" s="22"/>
      <c r="E9" s="13"/>
      <c r="F9" s="12"/>
      <c r="G9" s="20" t="str">
        <f aca="false">IF(OR(C9="",D9=""),"",D9-C9)</f>
        <v/>
      </c>
      <c r="H9" s="20" t="n">
        <f aca="false">IF(A9="",0,IF(COUNTIF($A$5:A9,A9)=1,1,0))</f>
        <v>0</v>
      </c>
    </row>
    <row r="10" customFormat="false" ht="15" hidden="false" customHeight="false" outlineLevel="0" collapsed="false">
      <c r="A10" s="12"/>
      <c r="B10" s="12"/>
      <c r="C10" s="22"/>
      <c r="D10" s="22"/>
      <c r="E10" s="13"/>
      <c r="F10" s="12"/>
      <c r="G10" s="20" t="str">
        <f aca="false">IF(OR(C10="",D10=""),"",D10-C10)</f>
        <v/>
      </c>
      <c r="H10" s="20" t="n">
        <f aca="false">IF(A10="",0,IF(COUNTIF($A$5:A10,A10)=1,1,0))</f>
        <v>0</v>
      </c>
    </row>
    <row r="11" customFormat="false" ht="15" hidden="false" customHeight="false" outlineLevel="0" collapsed="false">
      <c r="A11" s="12"/>
      <c r="B11" s="12"/>
      <c r="C11" s="22"/>
      <c r="D11" s="22"/>
      <c r="E11" s="13"/>
      <c r="F11" s="12"/>
      <c r="G11" s="20" t="str">
        <f aca="false">IF(OR(C11="",D11=""),"",D11-C11)</f>
        <v/>
      </c>
      <c r="H11" s="20" t="n">
        <f aca="false">IF(A11="",0,IF(COUNTIF($A$5:A11,A11)=1,1,0))</f>
        <v>0</v>
      </c>
    </row>
    <row r="12" customFormat="false" ht="15" hidden="false" customHeight="false" outlineLevel="0" collapsed="false">
      <c r="A12" s="12"/>
      <c r="B12" s="12"/>
      <c r="C12" s="22"/>
      <c r="D12" s="22"/>
      <c r="E12" s="13"/>
      <c r="F12" s="12"/>
      <c r="G12" s="20" t="str">
        <f aca="false">IF(OR(C12="",D12=""),"",D12-C12)</f>
        <v/>
      </c>
      <c r="H12" s="20" t="n">
        <f aca="false">IF(A12="",0,IF(COUNTIF($A$5:A12,A12)=1,1,0))</f>
        <v>0</v>
      </c>
    </row>
    <row r="13" customFormat="false" ht="15" hidden="false" customHeight="false" outlineLevel="0" collapsed="false">
      <c r="A13" s="12"/>
      <c r="B13" s="12"/>
      <c r="C13" s="22"/>
      <c r="D13" s="22"/>
      <c r="E13" s="13"/>
      <c r="F13" s="12"/>
      <c r="G13" s="20" t="str">
        <f aca="false">IF(OR(C13="",D13=""),"",D13-C13)</f>
        <v/>
      </c>
      <c r="H13" s="20" t="n">
        <f aca="false">IF(A13="",0,IF(COUNTIF($A$5:A13,A13)=1,1,0))</f>
        <v>0</v>
      </c>
    </row>
    <row r="14" customFormat="false" ht="15" hidden="false" customHeight="false" outlineLevel="0" collapsed="false">
      <c r="A14" s="12"/>
      <c r="B14" s="12"/>
      <c r="C14" s="22"/>
      <c r="D14" s="22"/>
      <c r="E14" s="13"/>
      <c r="F14" s="12"/>
      <c r="G14" s="20" t="str">
        <f aca="false">IF(OR(C14="",D14=""),"",D14-C14)</f>
        <v/>
      </c>
      <c r="H14" s="20" t="n">
        <f aca="false">IF(A14="",0,IF(COUNTIF($A$5:A14,A14)=1,1,0))</f>
        <v>0</v>
      </c>
    </row>
    <row r="15" customFormat="false" ht="15" hidden="false" customHeight="false" outlineLevel="0" collapsed="false">
      <c r="A15" s="12"/>
      <c r="B15" s="12"/>
      <c r="C15" s="22"/>
      <c r="D15" s="22"/>
      <c r="E15" s="13"/>
      <c r="F15" s="12"/>
      <c r="G15" s="20" t="str">
        <f aca="false">IF(OR(C15="",D15=""),"",D15-C15)</f>
        <v/>
      </c>
      <c r="H15" s="20" t="n">
        <f aca="false">IF(A15="",0,IF(COUNTIF($A$5:A15,A15)=1,1,0))</f>
        <v>0</v>
      </c>
    </row>
    <row r="16" customFormat="false" ht="15" hidden="false" customHeight="false" outlineLevel="0" collapsed="false">
      <c r="A16" s="12"/>
      <c r="B16" s="12"/>
      <c r="C16" s="22"/>
      <c r="D16" s="22"/>
      <c r="E16" s="13"/>
      <c r="F16" s="12"/>
      <c r="G16" s="20" t="str">
        <f aca="false">IF(OR(C16="",D16=""),"",D16-C16)</f>
        <v/>
      </c>
      <c r="H16" s="20" t="n">
        <f aca="false">IF(A16="",0,IF(COUNTIF($A$5:A16,A16)=1,1,0))</f>
        <v>0</v>
      </c>
    </row>
    <row r="17" customFormat="false" ht="15" hidden="false" customHeight="false" outlineLevel="0" collapsed="false">
      <c r="A17" s="12"/>
      <c r="B17" s="12"/>
      <c r="C17" s="22"/>
      <c r="D17" s="22"/>
      <c r="E17" s="13"/>
      <c r="F17" s="12"/>
      <c r="G17" s="20" t="str">
        <f aca="false">IF(OR(C17="",D17=""),"",D17-C17)</f>
        <v/>
      </c>
      <c r="H17" s="20" t="n">
        <f aca="false">IF(A17="",0,IF(COUNTIF($A$5:A17,A17)=1,1,0))</f>
        <v>0</v>
      </c>
    </row>
    <row r="18" customFormat="false" ht="15" hidden="false" customHeight="false" outlineLevel="0" collapsed="false">
      <c r="A18" s="12"/>
      <c r="B18" s="12"/>
      <c r="C18" s="22"/>
      <c r="D18" s="22"/>
      <c r="E18" s="13"/>
      <c r="F18" s="12"/>
      <c r="G18" s="20" t="str">
        <f aca="false">IF(OR(C18="",D18=""),"",D18-C18)</f>
        <v/>
      </c>
      <c r="H18" s="20" t="n">
        <f aca="false">IF(A18="",0,IF(COUNTIF($A$5:A18,A18)=1,1,0))</f>
        <v>0</v>
      </c>
    </row>
    <row r="19" customFormat="false" ht="15" hidden="false" customHeight="false" outlineLevel="0" collapsed="false">
      <c r="A19" s="12"/>
      <c r="B19" s="12"/>
      <c r="C19" s="22"/>
      <c r="D19" s="22"/>
      <c r="E19" s="13"/>
      <c r="F19" s="12"/>
      <c r="G19" s="20" t="str">
        <f aca="false">IF(OR(C19="",D19=""),"",D19-C19)</f>
        <v/>
      </c>
      <c r="H19" s="20" t="n">
        <f aca="false">IF(A19="",0,IF(COUNTIF($A$5:A19,A19)=1,1,0))</f>
        <v>0</v>
      </c>
    </row>
    <row r="20" customFormat="false" ht="15" hidden="false" customHeight="false" outlineLevel="0" collapsed="false">
      <c r="A20" s="12"/>
      <c r="B20" s="12"/>
      <c r="C20" s="22"/>
      <c r="D20" s="22"/>
      <c r="E20" s="13"/>
      <c r="F20" s="12"/>
      <c r="G20" s="20" t="str">
        <f aca="false">IF(OR(C20="",D20=""),"",D20-C20)</f>
        <v/>
      </c>
      <c r="H20" s="20" t="n">
        <f aca="false">IF(A20="",0,IF(COUNTIF($A$5:A20,A20)=1,1,0))</f>
        <v>0</v>
      </c>
    </row>
    <row r="21" customFormat="false" ht="15" hidden="false" customHeight="false" outlineLevel="0" collapsed="false">
      <c r="A21" s="12"/>
      <c r="B21" s="12"/>
      <c r="C21" s="22"/>
      <c r="D21" s="22"/>
      <c r="E21" s="13"/>
      <c r="F21" s="12"/>
      <c r="G21" s="20" t="str">
        <f aca="false">IF(OR(C21="",D21=""),"",D21-C21)</f>
        <v/>
      </c>
      <c r="H21" s="20" t="n">
        <f aca="false">IF(A21="",0,IF(COUNTIF($A$5:A21,A21)=1,1,0))</f>
        <v>0</v>
      </c>
    </row>
    <row r="22" customFormat="false" ht="15" hidden="false" customHeight="false" outlineLevel="0" collapsed="false">
      <c r="A22" s="12"/>
      <c r="B22" s="12"/>
      <c r="C22" s="22"/>
      <c r="D22" s="22"/>
      <c r="E22" s="13"/>
      <c r="F22" s="12"/>
      <c r="G22" s="20" t="str">
        <f aca="false">IF(OR(C22="",D22=""),"",D22-C22)</f>
        <v/>
      </c>
      <c r="H22" s="20" t="n">
        <f aca="false">IF(A22="",0,IF(COUNTIF($A$5:A22,A22)=1,1,0))</f>
        <v>0</v>
      </c>
    </row>
    <row r="23" customFormat="false" ht="15" hidden="false" customHeight="false" outlineLevel="0" collapsed="false">
      <c r="A23" s="12"/>
      <c r="B23" s="12"/>
      <c r="C23" s="22"/>
      <c r="D23" s="22"/>
      <c r="E23" s="13"/>
      <c r="F23" s="12"/>
      <c r="G23" s="20" t="str">
        <f aca="false">IF(OR(C23="",D23=""),"",D23-C23)</f>
        <v/>
      </c>
      <c r="H23" s="20" t="n">
        <f aca="false">IF(A23="",0,IF(COUNTIF($A$5:A23,A23)=1,1,0))</f>
        <v>0</v>
      </c>
    </row>
    <row r="24" customFormat="false" ht="15" hidden="false" customHeight="false" outlineLevel="0" collapsed="false">
      <c r="A24" s="12"/>
      <c r="B24" s="12"/>
      <c r="C24" s="22"/>
      <c r="D24" s="22"/>
      <c r="E24" s="13"/>
      <c r="F24" s="12"/>
      <c r="G24" s="20" t="str">
        <f aca="false">IF(OR(C24="",D24=""),"",D24-C24)</f>
        <v/>
      </c>
      <c r="H24" s="20" t="n">
        <f aca="false">IF(A24="",0,IF(COUNTIF($A$5:A24,A24)=1,1,0))</f>
        <v>0</v>
      </c>
    </row>
    <row r="25" customFormat="false" ht="15" hidden="false" customHeight="false" outlineLevel="0" collapsed="false">
      <c r="A25" s="12"/>
      <c r="B25" s="12"/>
      <c r="C25" s="22"/>
      <c r="D25" s="22"/>
      <c r="E25" s="13"/>
      <c r="F25" s="12"/>
      <c r="G25" s="20" t="str">
        <f aca="false">IF(OR(C25="",D25=""),"",D25-C25)</f>
        <v/>
      </c>
      <c r="H25" s="20" t="n">
        <f aca="false">IF(A25="",0,IF(COUNTIF($A$5:A25,A25)=1,1,0))</f>
        <v>0</v>
      </c>
    </row>
    <row r="26" customFormat="false" ht="15" hidden="false" customHeight="false" outlineLevel="0" collapsed="false">
      <c r="A26" s="12"/>
      <c r="B26" s="12"/>
      <c r="C26" s="22"/>
      <c r="D26" s="22"/>
      <c r="E26" s="13"/>
      <c r="F26" s="12"/>
      <c r="G26" s="20" t="str">
        <f aca="false">IF(OR(C26="",D26=""),"",D26-C26)</f>
        <v/>
      </c>
      <c r="H26" s="20" t="n">
        <f aca="false">IF(A26="",0,IF(COUNTIF($A$5:A26,A26)=1,1,0))</f>
        <v>0</v>
      </c>
    </row>
    <row r="27" customFormat="false" ht="15" hidden="false" customHeight="false" outlineLevel="0" collapsed="false">
      <c r="A27" s="12"/>
      <c r="B27" s="12"/>
      <c r="C27" s="22"/>
      <c r="D27" s="22"/>
      <c r="E27" s="13"/>
      <c r="F27" s="12"/>
      <c r="G27" s="20" t="str">
        <f aca="false">IF(OR(C27="",D27=""),"",D27-C27)</f>
        <v/>
      </c>
      <c r="H27" s="20" t="n">
        <f aca="false">IF(A27="",0,IF(COUNTIF($A$5:A27,A27)=1,1,0))</f>
        <v>0</v>
      </c>
    </row>
    <row r="28" customFormat="false" ht="15" hidden="false" customHeight="false" outlineLevel="0" collapsed="false">
      <c r="A28" s="12"/>
      <c r="B28" s="12"/>
      <c r="C28" s="22"/>
      <c r="D28" s="22"/>
      <c r="E28" s="13"/>
      <c r="F28" s="12"/>
      <c r="G28" s="20" t="str">
        <f aca="false">IF(OR(C28="",D28=""),"",D28-C28)</f>
        <v/>
      </c>
      <c r="H28" s="20" t="n">
        <f aca="false">IF(A28="",0,IF(COUNTIF($A$5:A28,A28)=1,1,0))</f>
        <v>0</v>
      </c>
    </row>
    <row r="29" customFormat="false" ht="15" hidden="false" customHeight="false" outlineLevel="0" collapsed="false">
      <c r="A29" s="12"/>
      <c r="B29" s="12"/>
      <c r="C29" s="22"/>
      <c r="D29" s="22"/>
      <c r="E29" s="13"/>
      <c r="F29" s="12"/>
      <c r="G29" s="20" t="str">
        <f aca="false">IF(OR(C29="",D29=""),"",D29-C29)</f>
        <v/>
      </c>
      <c r="H29" s="20" t="n">
        <f aca="false">IF(A29="",0,IF(COUNTIF($A$5:A29,A29)=1,1,0))</f>
        <v>0</v>
      </c>
    </row>
    <row r="30" customFormat="false" ht="15" hidden="false" customHeight="false" outlineLevel="0" collapsed="false">
      <c r="A30" s="12"/>
      <c r="B30" s="12"/>
      <c r="C30" s="22"/>
      <c r="D30" s="22"/>
      <c r="E30" s="13"/>
      <c r="F30" s="12"/>
      <c r="G30" s="20" t="str">
        <f aca="false">IF(OR(C30="",D30=""),"",D30-C30)</f>
        <v/>
      </c>
      <c r="H30" s="20" t="n">
        <f aca="false">IF(A30="",0,IF(COUNTIF($A$5:A30,A30)=1,1,0))</f>
        <v>0</v>
      </c>
    </row>
    <row r="31" customFormat="false" ht="15" hidden="false" customHeight="false" outlineLevel="0" collapsed="false">
      <c r="A31" s="12"/>
      <c r="B31" s="12"/>
      <c r="C31" s="22"/>
      <c r="D31" s="22"/>
      <c r="E31" s="13"/>
      <c r="F31" s="12"/>
      <c r="G31" s="20" t="str">
        <f aca="false">IF(OR(C31="",D31=""),"",D31-C31)</f>
        <v/>
      </c>
      <c r="H31" s="20" t="n">
        <f aca="false">IF(A31="",0,IF(COUNTIF($A$5:A31,A31)=1,1,0))</f>
        <v>0</v>
      </c>
    </row>
    <row r="32" customFormat="false" ht="15" hidden="false" customHeight="false" outlineLevel="0" collapsed="false">
      <c r="A32" s="12"/>
      <c r="B32" s="12"/>
      <c r="C32" s="22"/>
      <c r="D32" s="22"/>
      <c r="E32" s="13"/>
      <c r="F32" s="12"/>
      <c r="G32" s="20" t="str">
        <f aca="false">IF(OR(C32="",D32=""),"",D32-C32)</f>
        <v/>
      </c>
      <c r="H32" s="20" t="n">
        <f aca="false">IF(A32="",0,IF(COUNTIF($A$5:A32,A32)=1,1,0))</f>
        <v>0</v>
      </c>
    </row>
    <row r="33" customFormat="false" ht="15" hidden="false" customHeight="false" outlineLevel="0" collapsed="false">
      <c r="A33" s="12"/>
      <c r="B33" s="12"/>
      <c r="C33" s="22"/>
      <c r="D33" s="22"/>
      <c r="E33" s="13"/>
      <c r="F33" s="12"/>
      <c r="G33" s="20" t="str">
        <f aca="false">IF(OR(C33="",D33=""),"",D33-C33)</f>
        <v/>
      </c>
      <c r="H33" s="20" t="n">
        <f aca="false">IF(A33="",0,IF(COUNTIF($A$5:A33,A33)=1,1,0))</f>
        <v>0</v>
      </c>
    </row>
    <row r="34" customFormat="false" ht="15" hidden="false" customHeight="false" outlineLevel="0" collapsed="false">
      <c r="A34" s="12"/>
      <c r="B34" s="12"/>
      <c r="C34" s="22"/>
      <c r="D34" s="22"/>
      <c r="E34" s="13"/>
      <c r="F34" s="12"/>
      <c r="G34" s="20" t="str">
        <f aca="false">IF(OR(C34="",D34=""),"",D34-C34)</f>
        <v/>
      </c>
      <c r="H34" s="20" t="n">
        <f aca="false">IF(A34="",0,IF(COUNTIF($A$5:A34,A34)=1,1,0))</f>
        <v>0</v>
      </c>
    </row>
    <row r="35" customFormat="false" ht="15" hidden="false" customHeight="false" outlineLevel="0" collapsed="false">
      <c r="A35" s="12"/>
      <c r="B35" s="12"/>
      <c r="C35" s="22"/>
      <c r="D35" s="22"/>
      <c r="E35" s="13"/>
      <c r="F35" s="12"/>
      <c r="G35" s="20" t="str">
        <f aca="false">IF(OR(C35="",D35=""),"",D35-C35)</f>
        <v/>
      </c>
      <c r="H35" s="20" t="n">
        <f aca="false">IF(A35="",0,IF(COUNTIF($A$5:A35,A35)=1,1,0))</f>
        <v>0</v>
      </c>
    </row>
    <row r="36" customFormat="false" ht="15" hidden="false" customHeight="false" outlineLevel="0" collapsed="false">
      <c r="A36" s="12"/>
      <c r="B36" s="12"/>
      <c r="C36" s="22"/>
      <c r="D36" s="22"/>
      <c r="E36" s="13"/>
      <c r="F36" s="12"/>
      <c r="G36" s="20" t="str">
        <f aca="false">IF(OR(C36="",D36=""),"",D36-C36)</f>
        <v/>
      </c>
      <c r="H36" s="20" t="n">
        <f aca="false">IF(A36="",0,IF(COUNTIF($A$5:A36,A36)=1,1,0))</f>
        <v>0</v>
      </c>
    </row>
    <row r="37" customFormat="false" ht="15" hidden="false" customHeight="false" outlineLevel="0" collapsed="false">
      <c r="A37" s="12"/>
      <c r="B37" s="12"/>
      <c r="C37" s="22"/>
      <c r="D37" s="22"/>
      <c r="E37" s="13"/>
      <c r="F37" s="12"/>
      <c r="G37" s="20" t="str">
        <f aca="false">IF(OR(C37="",D37=""),"",D37-C37)</f>
        <v/>
      </c>
      <c r="H37" s="20" t="n">
        <f aca="false">IF(A37="",0,IF(COUNTIF($A$5:A37,A37)=1,1,0))</f>
        <v>0</v>
      </c>
    </row>
    <row r="38" customFormat="false" ht="15" hidden="false" customHeight="false" outlineLevel="0" collapsed="false">
      <c r="A38" s="12"/>
      <c r="B38" s="12"/>
      <c r="C38" s="22"/>
      <c r="D38" s="22"/>
      <c r="E38" s="13"/>
      <c r="F38" s="12"/>
      <c r="G38" s="20" t="str">
        <f aca="false">IF(OR(C38="",D38=""),"",D38-C38)</f>
        <v/>
      </c>
      <c r="H38" s="20" t="n">
        <f aca="false">IF(A38="",0,IF(COUNTIF($A$5:A38,A38)=1,1,0))</f>
        <v>0</v>
      </c>
    </row>
    <row r="39" customFormat="false" ht="15" hidden="false" customHeight="false" outlineLevel="0" collapsed="false">
      <c r="A39" s="12"/>
      <c r="B39" s="12"/>
      <c r="C39" s="22"/>
      <c r="D39" s="22"/>
      <c r="E39" s="13"/>
      <c r="F39" s="12"/>
      <c r="G39" s="20" t="str">
        <f aca="false">IF(OR(C39="",D39=""),"",D39-C39)</f>
        <v/>
      </c>
      <c r="H39" s="20" t="n">
        <f aca="false">IF(A39="",0,IF(COUNTIF($A$5:A39,A39)=1,1,0))</f>
        <v>0</v>
      </c>
    </row>
    <row r="40" customFormat="false" ht="15" hidden="false" customHeight="false" outlineLevel="0" collapsed="false">
      <c r="A40" s="12"/>
      <c r="B40" s="12"/>
      <c r="C40" s="22"/>
      <c r="D40" s="22"/>
      <c r="E40" s="13"/>
      <c r="F40" s="12"/>
      <c r="G40" s="20" t="str">
        <f aca="false">IF(OR(C40="",D40=""),"",D40-C40)</f>
        <v/>
      </c>
      <c r="H40" s="20" t="n">
        <f aca="false">IF(A40="",0,IF(COUNTIF($A$5:A40,A40)=1,1,0))</f>
        <v>0</v>
      </c>
    </row>
    <row r="41" customFormat="false" ht="15" hidden="false" customHeight="false" outlineLevel="0" collapsed="false">
      <c r="A41" s="12"/>
      <c r="B41" s="12"/>
      <c r="C41" s="22"/>
      <c r="D41" s="22"/>
      <c r="E41" s="13"/>
      <c r="F41" s="12"/>
      <c r="G41" s="20" t="str">
        <f aca="false">IF(OR(C41="",D41=""),"",D41-C41)</f>
        <v/>
      </c>
      <c r="H41" s="20" t="n">
        <f aca="false">IF(A41="",0,IF(COUNTIF($A$5:A41,A41)=1,1,0))</f>
        <v>0</v>
      </c>
    </row>
    <row r="42" customFormat="false" ht="15" hidden="false" customHeight="false" outlineLevel="0" collapsed="false">
      <c r="A42" s="12"/>
      <c r="B42" s="12"/>
      <c r="C42" s="22"/>
      <c r="D42" s="22"/>
      <c r="E42" s="13"/>
      <c r="F42" s="12"/>
      <c r="G42" s="20" t="str">
        <f aca="false">IF(OR(C42="",D42=""),"",D42-C42)</f>
        <v/>
      </c>
      <c r="H42" s="20" t="n">
        <f aca="false">IF(A42="",0,IF(COUNTIF($A$5:A42,A42)=1,1,0))</f>
        <v>0</v>
      </c>
    </row>
    <row r="43" customFormat="false" ht="15" hidden="false" customHeight="false" outlineLevel="0" collapsed="false">
      <c r="A43" s="12"/>
      <c r="B43" s="12"/>
      <c r="C43" s="22"/>
      <c r="D43" s="22"/>
      <c r="E43" s="13"/>
      <c r="F43" s="12"/>
      <c r="G43" s="20" t="str">
        <f aca="false">IF(OR(C43="",D43=""),"",D43-C43)</f>
        <v/>
      </c>
      <c r="H43" s="20" t="n">
        <f aca="false">IF(A43="",0,IF(COUNTIF($A$5:A43,A43)=1,1,0))</f>
        <v>0</v>
      </c>
    </row>
    <row r="44" customFormat="false" ht="15" hidden="false" customHeight="false" outlineLevel="0" collapsed="false">
      <c r="A44" s="12"/>
      <c r="B44" s="12"/>
      <c r="C44" s="22"/>
      <c r="D44" s="22"/>
      <c r="E44" s="13"/>
      <c r="F44" s="12"/>
      <c r="G44" s="20" t="str">
        <f aca="false">IF(OR(C44="",D44=""),"",D44-C44)</f>
        <v/>
      </c>
      <c r="H44" s="20" t="n">
        <f aca="false">IF(A44="",0,IF(COUNTIF($A$5:A44,A44)=1,1,0))</f>
        <v>0</v>
      </c>
    </row>
    <row r="45" customFormat="false" ht="15" hidden="false" customHeight="false" outlineLevel="0" collapsed="false">
      <c r="A45" s="12"/>
      <c r="B45" s="12"/>
      <c r="C45" s="22"/>
      <c r="D45" s="22"/>
      <c r="E45" s="13"/>
      <c r="F45" s="12"/>
      <c r="G45" s="20" t="str">
        <f aca="false">IF(OR(C45="",D45=""),"",D45-C45)</f>
        <v/>
      </c>
      <c r="H45" s="20" t="n">
        <f aca="false">IF(A45="",0,IF(COUNTIF($A$5:A45,A45)=1,1,0))</f>
        <v>0</v>
      </c>
    </row>
    <row r="46" customFormat="false" ht="15" hidden="false" customHeight="false" outlineLevel="0" collapsed="false">
      <c r="A46" s="12"/>
      <c r="B46" s="12"/>
      <c r="C46" s="22"/>
      <c r="D46" s="22"/>
      <c r="E46" s="13"/>
      <c r="F46" s="12"/>
      <c r="G46" s="20" t="str">
        <f aca="false">IF(OR(C46="",D46=""),"",D46-C46)</f>
        <v/>
      </c>
      <c r="H46" s="20" t="n">
        <f aca="false">IF(A46="",0,IF(COUNTIF($A$5:A46,A46)=1,1,0))</f>
        <v>0</v>
      </c>
    </row>
    <row r="47" customFormat="false" ht="15" hidden="false" customHeight="false" outlineLevel="0" collapsed="false">
      <c r="A47" s="12"/>
      <c r="B47" s="12"/>
      <c r="C47" s="22"/>
      <c r="D47" s="22"/>
      <c r="E47" s="13"/>
      <c r="F47" s="12"/>
      <c r="G47" s="20" t="str">
        <f aca="false">IF(OR(C47="",D47=""),"",D47-C47)</f>
        <v/>
      </c>
      <c r="H47" s="20" t="n">
        <f aca="false">IF(A47="",0,IF(COUNTIF($A$5:A47,A47)=1,1,0))</f>
        <v>0</v>
      </c>
    </row>
    <row r="48" customFormat="false" ht="15" hidden="false" customHeight="false" outlineLevel="0" collapsed="false">
      <c r="A48" s="12"/>
      <c r="B48" s="12"/>
      <c r="C48" s="22"/>
      <c r="D48" s="22"/>
      <c r="E48" s="13"/>
      <c r="F48" s="12"/>
      <c r="G48" s="20" t="str">
        <f aca="false">IF(OR(C48="",D48=""),"",D48-C48)</f>
        <v/>
      </c>
      <c r="H48" s="20" t="n">
        <f aca="false">IF(A48="",0,IF(COUNTIF($A$5:A48,A48)=1,1,0))</f>
        <v>0</v>
      </c>
    </row>
    <row r="49" customFormat="false" ht="15" hidden="false" customHeight="false" outlineLevel="0" collapsed="false">
      <c r="A49" s="12"/>
      <c r="B49" s="12"/>
      <c r="C49" s="22"/>
      <c r="D49" s="22"/>
      <c r="E49" s="13"/>
      <c r="F49" s="12"/>
      <c r="G49" s="20" t="str">
        <f aca="false">IF(OR(C49="",D49=""),"",D49-C49)</f>
        <v/>
      </c>
      <c r="H49" s="20" t="n">
        <f aca="false">IF(A49="",0,IF(COUNTIF($A$5:A49,A49)=1,1,0))</f>
        <v>0</v>
      </c>
    </row>
    <row r="50" customFormat="false" ht="15" hidden="false" customHeight="false" outlineLevel="0" collapsed="false">
      <c r="A50" s="12"/>
      <c r="B50" s="12"/>
      <c r="C50" s="22"/>
      <c r="D50" s="22"/>
      <c r="E50" s="13"/>
      <c r="F50" s="12"/>
      <c r="G50" s="20" t="str">
        <f aca="false">IF(OR(C50="",D50=""),"",D50-C50)</f>
        <v/>
      </c>
      <c r="H50" s="20" t="n">
        <f aca="false">IF(A50="",0,IF(COUNTIF($A$5:A50,A50)=1,1,0))</f>
        <v>0</v>
      </c>
    </row>
    <row r="51" customFormat="false" ht="15" hidden="false" customHeight="false" outlineLevel="0" collapsed="false">
      <c r="A51" s="12"/>
      <c r="B51" s="12"/>
      <c r="C51" s="22"/>
      <c r="D51" s="22"/>
      <c r="E51" s="13"/>
      <c r="F51" s="12"/>
      <c r="G51" s="20" t="str">
        <f aca="false">IF(OR(C51="",D51=""),"",D51-C51)</f>
        <v/>
      </c>
      <c r="H51" s="20" t="n">
        <f aca="false">IF(A51="",0,IF(COUNTIF($A$5:A51,A51)=1,1,0))</f>
        <v>0</v>
      </c>
    </row>
    <row r="52" customFormat="false" ht="15" hidden="false" customHeight="false" outlineLevel="0" collapsed="false">
      <c r="A52" s="12"/>
      <c r="B52" s="12"/>
      <c r="C52" s="22"/>
      <c r="D52" s="22"/>
      <c r="E52" s="13"/>
      <c r="F52" s="12"/>
      <c r="G52" s="20" t="str">
        <f aca="false">IF(OR(C52="",D52=""),"",D52-C52)</f>
        <v/>
      </c>
      <c r="H52" s="20" t="n">
        <f aca="false">IF(A52="",0,IF(COUNTIF($A$5:A52,A52)=1,1,0))</f>
        <v>0</v>
      </c>
    </row>
    <row r="53" customFormat="false" ht="15" hidden="false" customHeight="false" outlineLevel="0" collapsed="false">
      <c r="A53" s="12"/>
      <c r="B53" s="12"/>
      <c r="C53" s="22"/>
      <c r="D53" s="22"/>
      <c r="E53" s="13"/>
      <c r="F53" s="12"/>
      <c r="G53" s="20" t="str">
        <f aca="false">IF(OR(C53="",D53=""),"",D53-C53)</f>
        <v/>
      </c>
      <c r="H53" s="20" t="n">
        <f aca="false">IF(A53="",0,IF(COUNTIF($A$5:A53,A53)=1,1,0))</f>
        <v>0</v>
      </c>
    </row>
    <row r="54" customFormat="false" ht="15" hidden="false" customHeight="false" outlineLevel="0" collapsed="false">
      <c r="A54" s="12"/>
      <c r="B54" s="12"/>
      <c r="C54" s="22"/>
      <c r="D54" s="22"/>
      <c r="E54" s="13"/>
      <c r="F54" s="12"/>
      <c r="G54" s="20" t="str">
        <f aca="false">IF(OR(C54="",D54=""),"",D54-C54)</f>
        <v/>
      </c>
      <c r="H54" s="20" t="n">
        <f aca="false">IF(A54="",0,IF(COUNTIF($A$5:A54,A54)=1,1,0))</f>
        <v>0</v>
      </c>
    </row>
    <row r="55" customFormat="false" ht="15" hidden="false" customHeight="false" outlineLevel="0" collapsed="false">
      <c r="A55" s="12"/>
      <c r="B55" s="12"/>
      <c r="C55" s="22"/>
      <c r="D55" s="22"/>
      <c r="E55" s="13"/>
      <c r="F55" s="12"/>
      <c r="G55" s="20" t="str">
        <f aca="false">IF(OR(C55="",D55=""),"",D55-C55)</f>
        <v/>
      </c>
      <c r="H55" s="20" t="n">
        <f aca="false">IF(A55="",0,IF(COUNTIF($A$5:A55,A55)=1,1,0))</f>
        <v>0</v>
      </c>
    </row>
    <row r="56" customFormat="false" ht="15" hidden="false" customHeight="false" outlineLevel="0" collapsed="false">
      <c r="A56" s="12"/>
      <c r="B56" s="12"/>
      <c r="C56" s="22"/>
      <c r="D56" s="22"/>
      <c r="E56" s="13"/>
      <c r="F56" s="12"/>
      <c r="G56" s="20" t="str">
        <f aca="false">IF(OR(C56="",D56=""),"",D56-C56)</f>
        <v/>
      </c>
      <c r="H56" s="20" t="n">
        <f aca="false">IF(A56="",0,IF(COUNTIF($A$5:A56,A56)=1,1,0))</f>
        <v>0</v>
      </c>
    </row>
    <row r="57" customFormat="false" ht="15" hidden="false" customHeight="false" outlineLevel="0" collapsed="false">
      <c r="A57" s="12"/>
      <c r="B57" s="12"/>
      <c r="C57" s="22"/>
      <c r="D57" s="22"/>
      <c r="E57" s="13"/>
      <c r="F57" s="12"/>
      <c r="G57" s="20" t="str">
        <f aca="false">IF(OR(C57="",D57=""),"",D57-C57)</f>
        <v/>
      </c>
      <c r="H57" s="20" t="n">
        <f aca="false">IF(A57="",0,IF(COUNTIF($A$5:A57,A57)=1,1,0))</f>
        <v>0</v>
      </c>
    </row>
    <row r="58" customFormat="false" ht="15" hidden="false" customHeight="false" outlineLevel="0" collapsed="false">
      <c r="A58" s="12"/>
      <c r="B58" s="12"/>
      <c r="C58" s="22"/>
      <c r="D58" s="22"/>
      <c r="E58" s="13"/>
      <c r="F58" s="12"/>
      <c r="G58" s="20" t="str">
        <f aca="false">IF(OR(C58="",D58=""),"",D58-C58)</f>
        <v/>
      </c>
      <c r="H58" s="20" t="n">
        <f aca="false">IF(A58="",0,IF(COUNTIF($A$5:A58,A58)=1,1,0))</f>
        <v>0</v>
      </c>
    </row>
    <row r="59" customFormat="false" ht="15" hidden="false" customHeight="false" outlineLevel="0" collapsed="false">
      <c r="A59" s="12"/>
      <c r="B59" s="12"/>
      <c r="C59" s="22"/>
      <c r="D59" s="22"/>
      <c r="E59" s="13"/>
      <c r="F59" s="12"/>
      <c r="G59" s="20" t="str">
        <f aca="false">IF(OR(C59="",D59=""),"",D59-C59)</f>
        <v/>
      </c>
      <c r="H59" s="20" t="n">
        <f aca="false">IF(A59="",0,IF(COUNTIF($A$5:A59,A59)=1,1,0))</f>
        <v>0</v>
      </c>
    </row>
    <row r="60" customFormat="false" ht="15" hidden="false" customHeight="false" outlineLevel="0" collapsed="false">
      <c r="A60" s="12"/>
      <c r="B60" s="12"/>
      <c r="C60" s="22"/>
      <c r="D60" s="22"/>
      <c r="E60" s="13"/>
      <c r="F60" s="12"/>
      <c r="G60" s="20" t="str">
        <f aca="false">IF(OR(C60="",D60=""),"",D60-C60)</f>
        <v/>
      </c>
      <c r="H60" s="20" t="n">
        <f aca="false">IF(A60="",0,IF(COUNTIF($A$5:A60,A60)=1,1,0))</f>
        <v>0</v>
      </c>
    </row>
    <row r="61" customFormat="false" ht="15" hidden="false" customHeight="false" outlineLevel="0" collapsed="false">
      <c r="A61" s="12"/>
      <c r="B61" s="12"/>
      <c r="C61" s="22"/>
      <c r="D61" s="22"/>
      <c r="E61" s="13"/>
      <c r="F61" s="12"/>
      <c r="G61" s="20" t="str">
        <f aca="false">IF(OR(C61="",D61=""),"",D61-C61)</f>
        <v/>
      </c>
      <c r="H61" s="20" t="n">
        <f aca="false">IF(A61="",0,IF(COUNTIF($A$5:A61,A61)=1,1,0))</f>
        <v>0</v>
      </c>
    </row>
    <row r="62" customFormat="false" ht="15" hidden="false" customHeight="false" outlineLevel="0" collapsed="false">
      <c r="A62" s="12"/>
      <c r="B62" s="12"/>
      <c r="C62" s="22"/>
      <c r="D62" s="22"/>
      <c r="E62" s="13"/>
      <c r="F62" s="12"/>
      <c r="G62" s="20" t="str">
        <f aca="false">IF(OR(C62="",D62=""),"",D62-C62)</f>
        <v/>
      </c>
      <c r="H62" s="20" t="n">
        <f aca="false">IF(A62="",0,IF(COUNTIF($A$5:A62,A62)=1,1,0))</f>
        <v>0</v>
      </c>
    </row>
    <row r="63" customFormat="false" ht="15" hidden="false" customHeight="false" outlineLevel="0" collapsed="false">
      <c r="A63" s="12"/>
      <c r="B63" s="12"/>
      <c r="C63" s="22"/>
      <c r="D63" s="22"/>
      <c r="E63" s="13"/>
      <c r="F63" s="12"/>
      <c r="G63" s="20" t="str">
        <f aca="false">IF(OR(C63="",D63=""),"",D63-C63)</f>
        <v/>
      </c>
      <c r="H63" s="20" t="n">
        <f aca="false">IF(A63="",0,IF(COUNTIF($A$5:A63,A63)=1,1,0))</f>
        <v>0</v>
      </c>
    </row>
    <row r="64" customFormat="false" ht="15" hidden="false" customHeight="false" outlineLevel="0" collapsed="false">
      <c r="A64" s="12"/>
      <c r="B64" s="12"/>
      <c r="C64" s="22"/>
      <c r="D64" s="22"/>
      <c r="E64" s="13"/>
      <c r="F64" s="12"/>
      <c r="G64" s="20" t="str">
        <f aca="false">IF(OR(C64="",D64=""),"",D64-C64)</f>
        <v/>
      </c>
      <c r="H64" s="20" t="n">
        <f aca="false">IF(A64="",0,IF(COUNTIF($A$5:A64,A64)=1,1,0))</f>
        <v>0</v>
      </c>
    </row>
    <row r="65" customFormat="false" ht="15" hidden="false" customHeight="false" outlineLevel="0" collapsed="false">
      <c r="A65" s="12"/>
      <c r="B65" s="12"/>
      <c r="C65" s="22"/>
      <c r="D65" s="22"/>
      <c r="E65" s="13"/>
      <c r="F65" s="12"/>
      <c r="G65" s="20" t="str">
        <f aca="false">IF(OR(C65="",D65=""),"",D65-C65)</f>
        <v/>
      </c>
      <c r="H65" s="20" t="n">
        <f aca="false">IF(A65="",0,IF(COUNTIF($A$5:A65,A65)=1,1,0))</f>
        <v>0</v>
      </c>
    </row>
    <row r="66" customFormat="false" ht="15" hidden="false" customHeight="false" outlineLevel="0" collapsed="false">
      <c r="A66" s="12"/>
      <c r="B66" s="12"/>
      <c r="C66" s="22"/>
      <c r="D66" s="22"/>
      <c r="E66" s="13"/>
      <c r="F66" s="12"/>
      <c r="G66" s="20" t="str">
        <f aca="false">IF(OR(C66="",D66=""),"",D66-C66)</f>
        <v/>
      </c>
      <c r="H66" s="20" t="n">
        <f aca="false">IF(A66="",0,IF(COUNTIF($A$5:A66,A66)=1,1,0))</f>
        <v>0</v>
      </c>
    </row>
    <row r="67" customFormat="false" ht="15" hidden="false" customHeight="false" outlineLevel="0" collapsed="false">
      <c r="A67" s="12"/>
      <c r="B67" s="12"/>
      <c r="C67" s="22"/>
      <c r="D67" s="22"/>
      <c r="E67" s="13"/>
      <c r="F67" s="12"/>
      <c r="G67" s="20" t="str">
        <f aca="false">IF(OR(C67="",D67=""),"",D67-C67)</f>
        <v/>
      </c>
      <c r="H67" s="20" t="n">
        <f aca="false">IF(A67="",0,IF(COUNTIF($A$5:A67,A67)=1,1,0))</f>
        <v>0</v>
      </c>
    </row>
    <row r="68" customFormat="false" ht="15" hidden="false" customHeight="false" outlineLevel="0" collapsed="false">
      <c r="A68" s="12"/>
      <c r="B68" s="12"/>
      <c r="C68" s="22"/>
      <c r="D68" s="22"/>
      <c r="E68" s="13"/>
      <c r="F68" s="12"/>
      <c r="G68" s="20" t="str">
        <f aca="false">IF(OR(C68="",D68=""),"",D68-C68)</f>
        <v/>
      </c>
      <c r="H68" s="20" t="n">
        <f aca="false">IF(A68="",0,IF(COUNTIF($A$5:A68,A68)=1,1,0))</f>
        <v>0</v>
      </c>
    </row>
    <row r="69" customFormat="false" ht="15" hidden="false" customHeight="false" outlineLevel="0" collapsed="false">
      <c r="A69" s="12"/>
      <c r="B69" s="12"/>
      <c r="C69" s="22"/>
      <c r="D69" s="22"/>
      <c r="E69" s="13"/>
      <c r="F69" s="12"/>
      <c r="G69" s="20" t="str">
        <f aca="false">IF(OR(C69="",D69=""),"",D69-C69)</f>
        <v/>
      </c>
      <c r="H69" s="20" t="n">
        <f aca="false">IF(A69="",0,IF(COUNTIF($A$5:A69,A69)=1,1,0))</f>
        <v>0</v>
      </c>
    </row>
    <row r="70" customFormat="false" ht="15" hidden="false" customHeight="false" outlineLevel="0" collapsed="false">
      <c r="A70" s="12"/>
      <c r="B70" s="12"/>
      <c r="C70" s="22"/>
      <c r="D70" s="22"/>
      <c r="E70" s="13"/>
      <c r="F70" s="12"/>
      <c r="G70" s="20" t="str">
        <f aca="false">IF(OR(C70="",D70=""),"",D70-C70)</f>
        <v/>
      </c>
      <c r="H70" s="20" t="n">
        <f aca="false">IF(A70="",0,IF(COUNTIF($A$5:A70,A70)=1,1,0))</f>
        <v>0</v>
      </c>
    </row>
    <row r="71" customFormat="false" ht="15" hidden="false" customHeight="false" outlineLevel="0" collapsed="false">
      <c r="A71" s="12"/>
      <c r="B71" s="12"/>
      <c r="C71" s="22"/>
      <c r="D71" s="22"/>
      <c r="E71" s="13"/>
      <c r="F71" s="12"/>
      <c r="G71" s="20" t="str">
        <f aca="false">IF(OR(C71="",D71=""),"",D71-C71)</f>
        <v/>
      </c>
      <c r="H71" s="20" t="n">
        <f aca="false">IF(A71="",0,IF(COUNTIF($A$5:A71,A71)=1,1,0))</f>
        <v>0</v>
      </c>
    </row>
    <row r="72" customFormat="false" ht="15" hidden="false" customHeight="false" outlineLevel="0" collapsed="false">
      <c r="A72" s="12"/>
      <c r="B72" s="12"/>
      <c r="C72" s="22"/>
      <c r="D72" s="22"/>
      <c r="E72" s="13"/>
      <c r="F72" s="12"/>
      <c r="G72" s="20" t="str">
        <f aca="false">IF(OR(C72="",D72=""),"",D72-C72)</f>
        <v/>
      </c>
      <c r="H72" s="20" t="n">
        <f aca="false">IF(A72="",0,IF(COUNTIF($A$5:A72,A72)=1,1,0))</f>
        <v>0</v>
      </c>
    </row>
    <row r="73" customFormat="false" ht="15" hidden="false" customHeight="false" outlineLevel="0" collapsed="false">
      <c r="A73" s="12"/>
      <c r="B73" s="12"/>
      <c r="C73" s="22"/>
      <c r="D73" s="22"/>
      <c r="E73" s="13"/>
      <c r="F73" s="12"/>
      <c r="G73" s="20" t="str">
        <f aca="false">IF(OR(C73="",D73=""),"",D73-C73)</f>
        <v/>
      </c>
      <c r="H73" s="20" t="n">
        <f aca="false">IF(A73="",0,IF(COUNTIF($A$5:A73,A73)=1,1,0))</f>
        <v>0</v>
      </c>
    </row>
    <row r="74" customFormat="false" ht="15" hidden="false" customHeight="false" outlineLevel="0" collapsed="false">
      <c r="A74" s="12"/>
      <c r="B74" s="12"/>
      <c r="C74" s="22"/>
      <c r="D74" s="22"/>
      <c r="E74" s="13"/>
      <c r="F74" s="12"/>
      <c r="G74" s="20" t="str">
        <f aca="false">IF(OR(C74="",D74=""),"",D74-C74)</f>
        <v/>
      </c>
      <c r="H74" s="20" t="n">
        <f aca="false">IF(A74="",0,IF(COUNTIF($A$5:A74,A74)=1,1,0))</f>
        <v>0</v>
      </c>
    </row>
    <row r="75" customFormat="false" ht="15" hidden="false" customHeight="false" outlineLevel="0" collapsed="false">
      <c r="A75" s="12"/>
      <c r="B75" s="12"/>
      <c r="C75" s="22"/>
      <c r="D75" s="22"/>
      <c r="E75" s="13"/>
      <c r="F75" s="12"/>
      <c r="G75" s="20" t="str">
        <f aca="false">IF(OR(C75="",D75=""),"",D75-C75)</f>
        <v/>
      </c>
      <c r="H75" s="20" t="n">
        <f aca="false">IF(A75="",0,IF(COUNTIF($A$5:A75,A75)=1,1,0))</f>
        <v>0</v>
      </c>
    </row>
    <row r="76" customFormat="false" ht="15" hidden="false" customHeight="false" outlineLevel="0" collapsed="false">
      <c r="A76" s="12"/>
      <c r="B76" s="12"/>
      <c r="C76" s="22"/>
      <c r="D76" s="22"/>
      <c r="E76" s="13"/>
      <c r="F76" s="12"/>
      <c r="G76" s="20" t="str">
        <f aca="false">IF(OR(C76="",D76=""),"",D76-C76)</f>
        <v/>
      </c>
      <c r="H76" s="20" t="n">
        <f aca="false">IF(A76="",0,IF(COUNTIF($A$5:A76,A76)=1,1,0))</f>
        <v>0</v>
      </c>
    </row>
    <row r="77" customFormat="false" ht="15" hidden="false" customHeight="false" outlineLevel="0" collapsed="false">
      <c r="A77" s="12"/>
      <c r="B77" s="12"/>
      <c r="C77" s="22"/>
      <c r="D77" s="22"/>
      <c r="E77" s="13"/>
      <c r="F77" s="12"/>
      <c r="G77" s="20" t="str">
        <f aca="false">IF(OR(C77="",D77=""),"",D77-C77)</f>
        <v/>
      </c>
      <c r="H77" s="20" t="n">
        <f aca="false">IF(A77="",0,IF(COUNTIF($A$5:A77,A77)=1,1,0))</f>
        <v>0</v>
      </c>
    </row>
    <row r="78" customFormat="false" ht="15" hidden="false" customHeight="false" outlineLevel="0" collapsed="false">
      <c r="A78" s="12"/>
      <c r="B78" s="12"/>
      <c r="C78" s="22"/>
      <c r="D78" s="22"/>
      <c r="E78" s="13"/>
      <c r="F78" s="12"/>
      <c r="G78" s="20" t="str">
        <f aca="false">IF(OR(C78="",D78=""),"",D78-C78)</f>
        <v/>
      </c>
      <c r="H78" s="20" t="n">
        <f aca="false">IF(A78="",0,IF(COUNTIF($A$5:A78,A78)=1,1,0))</f>
        <v>0</v>
      </c>
    </row>
    <row r="79" customFormat="false" ht="15" hidden="false" customHeight="false" outlineLevel="0" collapsed="false">
      <c r="A79" s="12"/>
      <c r="B79" s="12"/>
      <c r="C79" s="22"/>
      <c r="D79" s="22"/>
      <c r="E79" s="13"/>
      <c r="F79" s="12"/>
      <c r="G79" s="20" t="str">
        <f aca="false">IF(OR(C79="",D79=""),"",D79-C79)</f>
        <v/>
      </c>
      <c r="H79" s="20" t="n">
        <f aca="false">IF(A79="",0,IF(COUNTIF($A$5:A79,A79)=1,1,0))</f>
        <v>0</v>
      </c>
    </row>
    <row r="80" customFormat="false" ht="15" hidden="false" customHeight="false" outlineLevel="0" collapsed="false">
      <c r="A80" s="12"/>
      <c r="B80" s="12"/>
      <c r="C80" s="22"/>
      <c r="D80" s="22"/>
      <c r="E80" s="13"/>
      <c r="F80" s="12"/>
      <c r="G80" s="20" t="str">
        <f aca="false">IF(OR(C80="",D80=""),"",D80-C80)</f>
        <v/>
      </c>
      <c r="H80" s="20" t="n">
        <f aca="false">IF(A80="",0,IF(COUNTIF($A$5:A80,A80)=1,1,0))</f>
        <v>0</v>
      </c>
    </row>
    <row r="81" customFormat="false" ht="15" hidden="false" customHeight="false" outlineLevel="0" collapsed="false">
      <c r="A81" s="12"/>
      <c r="B81" s="12"/>
      <c r="C81" s="22"/>
      <c r="D81" s="22"/>
      <c r="E81" s="13"/>
      <c r="F81" s="12"/>
      <c r="G81" s="20" t="str">
        <f aca="false">IF(OR(C81="",D81=""),"",D81-C81)</f>
        <v/>
      </c>
      <c r="H81" s="20" t="n">
        <f aca="false">IF(A81="",0,IF(COUNTIF($A$5:A81,A81)=1,1,0))</f>
        <v>0</v>
      </c>
    </row>
    <row r="82" customFormat="false" ht="15" hidden="false" customHeight="false" outlineLevel="0" collapsed="false">
      <c r="A82" s="12"/>
      <c r="B82" s="12"/>
      <c r="C82" s="22"/>
      <c r="D82" s="22"/>
      <c r="E82" s="13"/>
      <c r="F82" s="12"/>
      <c r="G82" s="20" t="str">
        <f aca="false">IF(OR(C82="",D82=""),"",D82-C82)</f>
        <v/>
      </c>
      <c r="H82" s="20" t="n">
        <f aca="false">IF(A82="",0,IF(COUNTIF($A$5:A82,A82)=1,1,0))</f>
        <v>0</v>
      </c>
    </row>
    <row r="83" customFormat="false" ht="15" hidden="false" customHeight="false" outlineLevel="0" collapsed="false">
      <c r="A83" s="12"/>
      <c r="B83" s="12"/>
      <c r="C83" s="22"/>
      <c r="D83" s="22"/>
      <c r="E83" s="13"/>
      <c r="F83" s="12"/>
      <c r="G83" s="20" t="str">
        <f aca="false">IF(OR(C83="",D83=""),"",D83-C83)</f>
        <v/>
      </c>
      <c r="H83" s="20" t="n">
        <f aca="false">IF(A83="",0,IF(COUNTIF($A$5:A83,A83)=1,1,0))</f>
        <v>0</v>
      </c>
    </row>
    <row r="84" customFormat="false" ht="15" hidden="false" customHeight="false" outlineLevel="0" collapsed="false">
      <c r="A84" s="12"/>
      <c r="B84" s="12"/>
      <c r="C84" s="22"/>
      <c r="D84" s="22"/>
      <c r="E84" s="13"/>
      <c r="F84" s="12"/>
      <c r="G84" s="20" t="str">
        <f aca="false">IF(OR(C84="",D84=""),"",D84-C84)</f>
        <v/>
      </c>
      <c r="H84" s="20" t="n">
        <f aca="false">IF(A84="",0,IF(COUNTIF($A$5:A84,A84)=1,1,0))</f>
        <v>0</v>
      </c>
    </row>
    <row r="85" customFormat="false" ht="15" hidden="false" customHeight="false" outlineLevel="0" collapsed="false">
      <c r="A85" s="12"/>
      <c r="B85" s="12"/>
      <c r="C85" s="22"/>
      <c r="D85" s="22"/>
      <c r="E85" s="13"/>
      <c r="F85" s="12"/>
      <c r="G85" s="20" t="str">
        <f aca="false">IF(OR(C85="",D85=""),"",D85-C85)</f>
        <v/>
      </c>
      <c r="H85" s="20" t="n">
        <f aca="false">IF(A85="",0,IF(COUNTIF($A$5:A85,A85)=1,1,0))</f>
        <v>0</v>
      </c>
    </row>
    <row r="86" customFormat="false" ht="15" hidden="false" customHeight="false" outlineLevel="0" collapsed="false">
      <c r="A86" s="12"/>
      <c r="B86" s="12"/>
      <c r="C86" s="22"/>
      <c r="D86" s="22"/>
      <c r="E86" s="13"/>
      <c r="F86" s="12"/>
      <c r="G86" s="20" t="str">
        <f aca="false">IF(OR(C86="",D86=""),"",D86-C86)</f>
        <v/>
      </c>
      <c r="H86" s="20" t="n">
        <f aca="false">IF(A86="",0,IF(COUNTIF($A$5:A86,A86)=1,1,0))</f>
        <v>0</v>
      </c>
    </row>
    <row r="87" customFormat="false" ht="15" hidden="false" customHeight="false" outlineLevel="0" collapsed="false">
      <c r="A87" s="12"/>
      <c r="B87" s="12"/>
      <c r="C87" s="22"/>
      <c r="D87" s="22"/>
      <c r="E87" s="13"/>
      <c r="F87" s="12"/>
      <c r="G87" s="20" t="str">
        <f aca="false">IF(OR(C87="",D87=""),"",D87-C87)</f>
        <v/>
      </c>
      <c r="H87" s="20" t="n">
        <f aca="false">IF(A87="",0,IF(COUNTIF($A$5:A87,A87)=1,1,0))</f>
        <v>0</v>
      </c>
    </row>
    <row r="88" customFormat="false" ht="15" hidden="false" customHeight="false" outlineLevel="0" collapsed="false">
      <c r="A88" s="12"/>
      <c r="B88" s="12"/>
      <c r="C88" s="22"/>
      <c r="D88" s="22"/>
      <c r="E88" s="13"/>
      <c r="F88" s="12"/>
      <c r="G88" s="20" t="str">
        <f aca="false">IF(OR(C88="",D88=""),"",D88-C88)</f>
        <v/>
      </c>
      <c r="H88" s="20" t="n">
        <f aca="false">IF(A88="",0,IF(COUNTIF($A$5:A88,A88)=1,1,0))</f>
        <v>0</v>
      </c>
    </row>
    <row r="89" customFormat="false" ht="15" hidden="false" customHeight="false" outlineLevel="0" collapsed="false">
      <c r="A89" s="12"/>
      <c r="B89" s="12"/>
      <c r="C89" s="22"/>
      <c r="D89" s="22"/>
      <c r="E89" s="13"/>
      <c r="F89" s="12"/>
      <c r="G89" s="20" t="str">
        <f aca="false">IF(OR(C89="",D89=""),"",D89-C89)</f>
        <v/>
      </c>
      <c r="H89" s="20" t="n">
        <f aca="false">IF(A89="",0,IF(COUNTIF($A$5:A89,A89)=1,1,0))</f>
        <v>0</v>
      </c>
    </row>
    <row r="90" customFormat="false" ht="15" hidden="false" customHeight="false" outlineLevel="0" collapsed="false">
      <c r="A90" s="12"/>
      <c r="B90" s="12"/>
      <c r="C90" s="22"/>
      <c r="D90" s="22"/>
      <c r="E90" s="13"/>
      <c r="F90" s="12"/>
      <c r="G90" s="20" t="str">
        <f aca="false">IF(OR(C90="",D90=""),"",D90-C90)</f>
        <v/>
      </c>
      <c r="H90" s="20" t="n">
        <f aca="false">IF(A90="",0,IF(COUNTIF($A$5:A90,A90)=1,1,0))</f>
        <v>0</v>
      </c>
    </row>
    <row r="91" customFormat="false" ht="15" hidden="false" customHeight="false" outlineLevel="0" collapsed="false">
      <c r="A91" s="12"/>
      <c r="B91" s="12"/>
      <c r="C91" s="22"/>
      <c r="D91" s="22"/>
      <c r="E91" s="13"/>
      <c r="F91" s="12"/>
      <c r="G91" s="20" t="str">
        <f aca="false">IF(OR(C91="",D91=""),"",D91-C91)</f>
        <v/>
      </c>
      <c r="H91" s="20" t="n">
        <f aca="false">IF(A91="",0,IF(COUNTIF($A$5:A91,A91)=1,1,0))</f>
        <v>0</v>
      </c>
    </row>
    <row r="92" customFormat="false" ht="15" hidden="false" customHeight="false" outlineLevel="0" collapsed="false">
      <c r="A92" s="12"/>
      <c r="B92" s="12"/>
      <c r="C92" s="22"/>
      <c r="D92" s="22"/>
      <c r="E92" s="13"/>
      <c r="F92" s="12"/>
      <c r="G92" s="20" t="str">
        <f aca="false">IF(OR(C92="",D92=""),"",D92-C92)</f>
        <v/>
      </c>
      <c r="H92" s="20" t="n">
        <f aca="false">IF(A92="",0,IF(COUNTIF($A$5:A92,A92)=1,1,0))</f>
        <v>0</v>
      </c>
    </row>
    <row r="93" customFormat="false" ht="15" hidden="false" customHeight="false" outlineLevel="0" collapsed="false">
      <c r="A93" s="12"/>
      <c r="B93" s="12"/>
      <c r="C93" s="22"/>
      <c r="D93" s="22"/>
      <c r="E93" s="13"/>
      <c r="F93" s="12"/>
      <c r="G93" s="20" t="str">
        <f aca="false">IF(OR(C93="",D93=""),"",D93-C93)</f>
        <v/>
      </c>
      <c r="H93" s="20" t="n">
        <f aca="false">IF(A93="",0,IF(COUNTIF($A$5:A93,A93)=1,1,0))</f>
        <v>0</v>
      </c>
    </row>
    <row r="94" customFormat="false" ht="15" hidden="false" customHeight="false" outlineLevel="0" collapsed="false">
      <c r="A94" s="12"/>
      <c r="B94" s="12"/>
      <c r="C94" s="22"/>
      <c r="D94" s="22"/>
      <c r="E94" s="13"/>
      <c r="F94" s="12"/>
      <c r="G94" s="20" t="str">
        <f aca="false">IF(OR(C94="",D94=""),"",D94-C94)</f>
        <v/>
      </c>
      <c r="H94" s="20" t="n">
        <f aca="false">IF(A94="",0,IF(COUNTIF($A$5:A94,A94)=1,1,0))</f>
        <v>0</v>
      </c>
    </row>
    <row r="95" customFormat="false" ht="15" hidden="false" customHeight="false" outlineLevel="0" collapsed="false">
      <c r="A95" s="12"/>
      <c r="B95" s="12"/>
      <c r="C95" s="22"/>
      <c r="D95" s="22"/>
      <c r="E95" s="13"/>
      <c r="F95" s="12"/>
      <c r="G95" s="20" t="str">
        <f aca="false">IF(OR(C95="",D95=""),"",D95-C95)</f>
        <v/>
      </c>
      <c r="H95" s="20" t="n">
        <f aca="false">IF(A95="",0,IF(COUNTIF($A$5:A95,A95)=1,1,0))</f>
        <v>0</v>
      </c>
    </row>
    <row r="96" customFormat="false" ht="15" hidden="false" customHeight="false" outlineLevel="0" collapsed="false">
      <c r="A96" s="12"/>
      <c r="B96" s="12"/>
      <c r="C96" s="22"/>
      <c r="D96" s="22"/>
      <c r="E96" s="13"/>
      <c r="F96" s="12"/>
      <c r="G96" s="20" t="str">
        <f aca="false">IF(OR(C96="",D96=""),"",D96-C96)</f>
        <v/>
      </c>
      <c r="H96" s="20" t="n">
        <f aca="false">IF(A96="",0,IF(COUNTIF($A$5:A96,A96)=1,1,0))</f>
        <v>0</v>
      </c>
    </row>
    <row r="97" customFormat="false" ht="15" hidden="false" customHeight="false" outlineLevel="0" collapsed="false">
      <c r="A97" s="12"/>
      <c r="B97" s="12"/>
      <c r="C97" s="22"/>
      <c r="D97" s="22"/>
      <c r="E97" s="13"/>
      <c r="F97" s="12"/>
      <c r="G97" s="20" t="str">
        <f aca="false">IF(OR(C97="",D97=""),"",D97-C97)</f>
        <v/>
      </c>
      <c r="H97" s="20" t="n">
        <f aca="false">IF(A97="",0,IF(COUNTIF($A$5:A97,A97)=1,1,0))</f>
        <v>0</v>
      </c>
    </row>
    <row r="98" customFormat="false" ht="15" hidden="false" customHeight="false" outlineLevel="0" collapsed="false">
      <c r="A98" s="12"/>
      <c r="B98" s="12"/>
      <c r="C98" s="22"/>
      <c r="D98" s="22"/>
      <c r="E98" s="13"/>
      <c r="F98" s="12"/>
      <c r="G98" s="20" t="str">
        <f aca="false">IF(OR(C98="",D98=""),"",D98-C98)</f>
        <v/>
      </c>
      <c r="H98" s="20" t="n">
        <f aca="false">IF(A98="",0,IF(COUNTIF($A$5:A98,A98)=1,1,0))</f>
        <v>0</v>
      </c>
    </row>
    <row r="99" customFormat="false" ht="15" hidden="false" customHeight="false" outlineLevel="0" collapsed="false">
      <c r="A99" s="12"/>
      <c r="B99" s="12"/>
      <c r="C99" s="22"/>
      <c r="D99" s="22"/>
      <c r="E99" s="13"/>
      <c r="F99" s="12"/>
      <c r="G99" s="20" t="str">
        <f aca="false">IF(OR(C99="",D99=""),"",D99-C99)</f>
        <v/>
      </c>
      <c r="H99" s="20" t="n">
        <f aca="false">IF(A99="",0,IF(COUNTIF($A$5:A99,A99)=1,1,0))</f>
        <v>0</v>
      </c>
    </row>
    <row r="100" customFormat="false" ht="15" hidden="false" customHeight="false" outlineLevel="0" collapsed="false">
      <c r="A100" s="12"/>
      <c r="B100" s="12"/>
      <c r="C100" s="22"/>
      <c r="D100" s="22"/>
      <c r="E100" s="13"/>
      <c r="F100" s="12"/>
      <c r="G100" s="20" t="str">
        <f aca="false">IF(OR(C100="",D100=""),"",D100-C100)</f>
        <v/>
      </c>
      <c r="H100" s="20" t="n">
        <f aca="false">IF(A100="",0,IF(COUNTIF($A$5:A100,A100)=1,1,0))</f>
        <v>0</v>
      </c>
    </row>
    <row r="101" customFormat="false" ht="15" hidden="false" customHeight="false" outlineLevel="0" collapsed="false">
      <c r="A101" s="12"/>
      <c r="B101" s="12"/>
      <c r="C101" s="22"/>
      <c r="D101" s="22"/>
      <c r="E101" s="13"/>
      <c r="F101" s="12"/>
      <c r="G101" s="20" t="str">
        <f aca="false">IF(OR(C101="",D101=""),"",D101-C101)</f>
        <v/>
      </c>
      <c r="H101" s="20" t="n">
        <f aca="false">IF(A101="",0,IF(COUNTIF($A$5:A101,A101)=1,1,0))</f>
        <v>0</v>
      </c>
    </row>
    <row r="102" customFormat="false" ht="15" hidden="false" customHeight="false" outlineLevel="0" collapsed="false">
      <c r="A102" s="12"/>
      <c r="B102" s="12"/>
      <c r="C102" s="22"/>
      <c r="D102" s="22"/>
      <c r="E102" s="13"/>
      <c r="F102" s="12"/>
      <c r="G102" s="20" t="str">
        <f aca="false">IF(OR(C102="",D102=""),"",D102-C102)</f>
        <v/>
      </c>
      <c r="H102" s="20" t="n">
        <f aca="false">IF(A102="",0,IF(COUNTIF($A$5:A102,A102)=1,1,0))</f>
        <v>0</v>
      </c>
    </row>
    <row r="103" customFormat="false" ht="15" hidden="false" customHeight="false" outlineLevel="0" collapsed="false">
      <c r="A103" s="12"/>
      <c r="B103" s="12"/>
      <c r="C103" s="22"/>
      <c r="D103" s="22"/>
      <c r="E103" s="13"/>
      <c r="F103" s="12"/>
      <c r="G103" s="20" t="str">
        <f aca="false">IF(OR(C103="",D103=""),"",D103-C103)</f>
        <v/>
      </c>
      <c r="H103" s="20" t="n">
        <f aca="false">IF(A103="",0,IF(COUNTIF($A$5:A103,A103)=1,1,0))</f>
        <v>0</v>
      </c>
    </row>
    <row r="104" customFormat="false" ht="15" hidden="false" customHeight="false" outlineLevel="0" collapsed="false">
      <c r="A104" s="12"/>
      <c r="B104" s="12"/>
      <c r="C104" s="22"/>
      <c r="D104" s="22"/>
      <c r="E104" s="13"/>
      <c r="F104" s="12"/>
      <c r="G104" s="20" t="str">
        <f aca="false">IF(OR(C104="",D104=""),"",D104-C104)</f>
        <v/>
      </c>
      <c r="H104" s="20" t="n">
        <f aca="false">IF(A104="",0,IF(COUNTIF($A$5:A104,A104)=1,1,0))</f>
        <v>0</v>
      </c>
    </row>
    <row r="105" customFormat="false" ht="15" hidden="false" customHeight="false" outlineLevel="0" collapsed="false">
      <c r="A105" s="12"/>
      <c r="B105" s="12"/>
      <c r="C105" s="22"/>
      <c r="D105" s="22"/>
      <c r="E105" s="13"/>
      <c r="F105" s="12"/>
      <c r="G105" s="20" t="str">
        <f aca="false">IF(OR(C105="",D105=""),"",D105-C105)</f>
        <v/>
      </c>
      <c r="H105" s="20" t="n">
        <f aca="false">IF(A105="",0,IF(COUNTIF($A$5:A105,A105)=1,1,0))</f>
        <v>0</v>
      </c>
    </row>
    <row r="106" customFormat="false" ht="15" hidden="false" customHeight="false" outlineLevel="0" collapsed="false">
      <c r="A106" s="12"/>
      <c r="B106" s="12"/>
      <c r="C106" s="22"/>
      <c r="D106" s="22"/>
      <c r="E106" s="13"/>
      <c r="F106" s="12"/>
      <c r="G106" s="20" t="str">
        <f aca="false">IF(OR(C106="",D106=""),"",D106-C106)</f>
        <v/>
      </c>
      <c r="H106" s="20" t="n">
        <f aca="false">IF(A106="",0,IF(COUNTIF($A$5:A106,A106)=1,1,0))</f>
        <v>0</v>
      </c>
    </row>
    <row r="107" customFormat="false" ht="15" hidden="false" customHeight="false" outlineLevel="0" collapsed="false">
      <c r="A107" s="12"/>
      <c r="B107" s="12"/>
      <c r="C107" s="22"/>
      <c r="D107" s="22"/>
      <c r="E107" s="13"/>
      <c r="F107" s="12"/>
      <c r="G107" s="20" t="str">
        <f aca="false">IF(OR(C107="",D107=""),"",D107-C107)</f>
        <v/>
      </c>
      <c r="H107" s="20" t="n">
        <f aca="false">IF(A107="",0,IF(COUNTIF($A$5:A107,A107)=1,1,0))</f>
        <v>0</v>
      </c>
    </row>
    <row r="108" customFormat="false" ht="15" hidden="false" customHeight="false" outlineLevel="0" collapsed="false">
      <c r="A108" s="12"/>
      <c r="B108" s="12"/>
      <c r="C108" s="22"/>
      <c r="D108" s="22"/>
      <c r="E108" s="13"/>
      <c r="F108" s="12"/>
      <c r="G108" s="20" t="str">
        <f aca="false">IF(OR(C108="",D108=""),"",D108-C108)</f>
        <v/>
      </c>
      <c r="H108" s="20" t="n">
        <f aca="false">IF(A108="",0,IF(COUNTIF($A$5:A108,A108)=1,1,0))</f>
        <v>0</v>
      </c>
    </row>
    <row r="109" customFormat="false" ht="15" hidden="false" customHeight="false" outlineLevel="0" collapsed="false">
      <c r="A109" s="12"/>
      <c r="B109" s="12"/>
      <c r="C109" s="22"/>
      <c r="D109" s="22"/>
      <c r="E109" s="13"/>
      <c r="F109" s="12"/>
      <c r="G109" s="20" t="str">
        <f aca="false">IF(OR(C109="",D109=""),"",D109-C109)</f>
        <v/>
      </c>
      <c r="H109" s="20" t="n">
        <f aca="false">IF(A109="",0,IF(COUNTIF($A$5:A109,A109)=1,1,0))</f>
        <v>0</v>
      </c>
    </row>
    <row r="110" customFormat="false" ht="15" hidden="false" customHeight="false" outlineLevel="0" collapsed="false">
      <c r="A110" s="12"/>
      <c r="B110" s="12"/>
      <c r="C110" s="22"/>
      <c r="D110" s="22"/>
      <c r="E110" s="13"/>
      <c r="F110" s="12"/>
      <c r="G110" s="20" t="str">
        <f aca="false">IF(OR(C110="",D110=""),"",D110-C110)</f>
        <v/>
      </c>
      <c r="H110" s="20" t="n">
        <f aca="false">IF(A110="",0,IF(COUNTIF($A$5:A110,A110)=1,1,0))</f>
        <v>0</v>
      </c>
    </row>
    <row r="111" customFormat="false" ht="15" hidden="false" customHeight="false" outlineLevel="0" collapsed="false">
      <c r="A111" s="12"/>
      <c r="B111" s="12"/>
      <c r="C111" s="22"/>
      <c r="D111" s="22"/>
      <c r="E111" s="13"/>
      <c r="F111" s="12"/>
      <c r="G111" s="20" t="str">
        <f aca="false">IF(OR(C111="",D111=""),"",D111-C111)</f>
        <v/>
      </c>
      <c r="H111" s="20" t="n">
        <f aca="false">IF(A111="",0,IF(COUNTIF($A$5:A111,A111)=1,1,0))</f>
        <v>0</v>
      </c>
    </row>
    <row r="112" customFormat="false" ht="15" hidden="false" customHeight="false" outlineLevel="0" collapsed="false">
      <c r="A112" s="12"/>
      <c r="B112" s="12"/>
      <c r="C112" s="22"/>
      <c r="D112" s="22"/>
      <c r="E112" s="13"/>
      <c r="F112" s="12"/>
      <c r="G112" s="20" t="str">
        <f aca="false">IF(OR(C112="",D112=""),"",D112-C112)</f>
        <v/>
      </c>
      <c r="H112" s="20" t="n">
        <f aca="false">IF(A112="",0,IF(COUNTIF($A$5:A112,A112)=1,1,0))</f>
        <v>0</v>
      </c>
    </row>
    <row r="113" customFormat="false" ht="15" hidden="false" customHeight="false" outlineLevel="0" collapsed="false">
      <c r="A113" s="12"/>
      <c r="B113" s="12"/>
      <c r="C113" s="22"/>
      <c r="D113" s="22"/>
      <c r="E113" s="13"/>
      <c r="F113" s="12"/>
      <c r="G113" s="20" t="str">
        <f aca="false">IF(OR(C113="",D113=""),"",D113-C113)</f>
        <v/>
      </c>
      <c r="H113" s="20" t="n">
        <f aca="false">IF(A113="",0,IF(COUNTIF($A$5:A113,A113)=1,1,0))</f>
        <v>0</v>
      </c>
    </row>
    <row r="114" customFormat="false" ht="15" hidden="false" customHeight="false" outlineLevel="0" collapsed="false">
      <c r="A114" s="12"/>
      <c r="B114" s="12"/>
      <c r="C114" s="22"/>
      <c r="D114" s="22"/>
      <c r="E114" s="13"/>
      <c r="F114" s="12"/>
      <c r="G114" s="20" t="str">
        <f aca="false">IF(OR(C114="",D114=""),"",D114-C114)</f>
        <v/>
      </c>
      <c r="H114" s="20" t="n">
        <f aca="false">IF(A114="",0,IF(COUNTIF($A$5:A114,A114)=1,1,0))</f>
        <v>0</v>
      </c>
    </row>
    <row r="115" customFormat="false" ht="15" hidden="false" customHeight="false" outlineLevel="0" collapsed="false">
      <c r="A115" s="12"/>
      <c r="B115" s="12"/>
      <c r="C115" s="22"/>
      <c r="D115" s="22"/>
      <c r="E115" s="13"/>
      <c r="F115" s="12"/>
      <c r="G115" s="20" t="str">
        <f aca="false">IF(OR(C115="",D115=""),"",D115-C115)</f>
        <v/>
      </c>
      <c r="H115" s="20" t="n">
        <f aca="false">IF(A115="",0,IF(COUNTIF($A$5:A115,A115)=1,1,0))</f>
        <v>0</v>
      </c>
    </row>
    <row r="116" customFormat="false" ht="15" hidden="false" customHeight="false" outlineLevel="0" collapsed="false">
      <c r="A116" s="12"/>
      <c r="B116" s="12"/>
      <c r="C116" s="22"/>
      <c r="D116" s="22"/>
      <c r="E116" s="13"/>
      <c r="F116" s="12"/>
      <c r="G116" s="20" t="str">
        <f aca="false">IF(OR(C116="",D116=""),"",D116-C116)</f>
        <v/>
      </c>
      <c r="H116" s="20" t="n">
        <f aca="false">IF(A116="",0,IF(COUNTIF($A$5:A116,A116)=1,1,0))</f>
        <v>0</v>
      </c>
    </row>
    <row r="117" customFormat="false" ht="15" hidden="false" customHeight="false" outlineLevel="0" collapsed="false">
      <c r="A117" s="12"/>
      <c r="B117" s="12"/>
      <c r="C117" s="22"/>
      <c r="D117" s="22"/>
      <c r="E117" s="13"/>
      <c r="F117" s="12"/>
      <c r="G117" s="20" t="str">
        <f aca="false">IF(OR(C117="",D117=""),"",D117-C117)</f>
        <v/>
      </c>
      <c r="H117" s="20" t="n">
        <f aca="false">IF(A117="",0,IF(COUNTIF($A$5:A117,A117)=1,1,0))</f>
        <v>0</v>
      </c>
    </row>
    <row r="118" customFormat="false" ht="15" hidden="false" customHeight="false" outlineLevel="0" collapsed="false">
      <c r="A118" s="12"/>
      <c r="B118" s="12"/>
      <c r="C118" s="22"/>
      <c r="D118" s="22"/>
      <c r="E118" s="13"/>
      <c r="F118" s="12"/>
      <c r="G118" s="20" t="str">
        <f aca="false">IF(OR(C118="",D118=""),"",D118-C118)</f>
        <v/>
      </c>
      <c r="H118" s="20" t="n">
        <f aca="false">IF(A118="",0,IF(COUNTIF($A$5:A118,A118)=1,1,0))</f>
        <v>0</v>
      </c>
    </row>
    <row r="119" customFormat="false" ht="15" hidden="false" customHeight="false" outlineLevel="0" collapsed="false">
      <c r="A119" s="12"/>
      <c r="B119" s="12"/>
      <c r="C119" s="22"/>
      <c r="D119" s="22"/>
      <c r="E119" s="13"/>
      <c r="F119" s="12"/>
      <c r="G119" s="20" t="str">
        <f aca="false">IF(OR(C119="",D119=""),"",D119-C119)</f>
        <v/>
      </c>
      <c r="H119" s="20" t="n">
        <f aca="false">IF(A119="",0,IF(COUNTIF($A$5:A119,A119)=1,1,0))</f>
        <v>0</v>
      </c>
    </row>
    <row r="120" customFormat="false" ht="15" hidden="false" customHeight="false" outlineLevel="0" collapsed="false">
      <c r="A120" s="12"/>
      <c r="B120" s="12"/>
      <c r="C120" s="22"/>
      <c r="D120" s="22"/>
      <c r="E120" s="13"/>
      <c r="F120" s="12"/>
      <c r="G120" s="20" t="str">
        <f aca="false">IF(OR(C120="",D120=""),"",D120-C120)</f>
        <v/>
      </c>
      <c r="H120" s="20" t="n">
        <f aca="false">IF(A120="",0,IF(COUNTIF($A$5:A120,A120)=1,1,0))</f>
        <v>0</v>
      </c>
    </row>
    <row r="121" customFormat="false" ht="15" hidden="false" customHeight="false" outlineLevel="0" collapsed="false">
      <c r="A121" s="12"/>
      <c r="B121" s="12"/>
      <c r="C121" s="22"/>
      <c r="D121" s="22"/>
      <c r="E121" s="13"/>
      <c r="F121" s="12"/>
      <c r="G121" s="20" t="str">
        <f aca="false">IF(OR(C121="",D121=""),"",D121-C121)</f>
        <v/>
      </c>
      <c r="H121" s="20" t="n">
        <f aca="false">IF(A121="",0,IF(COUNTIF($A$5:A121,A121)=1,1,0))</f>
        <v>0</v>
      </c>
    </row>
    <row r="122" customFormat="false" ht="15" hidden="false" customHeight="false" outlineLevel="0" collapsed="false">
      <c r="A122" s="12"/>
      <c r="B122" s="12"/>
      <c r="C122" s="22"/>
      <c r="D122" s="22"/>
      <c r="E122" s="13"/>
      <c r="F122" s="12"/>
      <c r="G122" s="20" t="str">
        <f aca="false">IF(OR(C122="",D122=""),"",D122-C122)</f>
        <v/>
      </c>
      <c r="H122" s="20" t="n">
        <f aca="false">IF(A122="",0,IF(COUNTIF($A$5:A122,A122)=1,1,0))</f>
        <v>0</v>
      </c>
    </row>
    <row r="123" customFormat="false" ht="15" hidden="false" customHeight="false" outlineLevel="0" collapsed="false">
      <c r="A123" s="12"/>
      <c r="B123" s="12"/>
      <c r="C123" s="22"/>
      <c r="D123" s="22"/>
      <c r="E123" s="13"/>
      <c r="F123" s="12"/>
      <c r="G123" s="20" t="str">
        <f aca="false">IF(OR(C123="",D123=""),"",D123-C123)</f>
        <v/>
      </c>
      <c r="H123" s="20" t="n">
        <f aca="false">IF(A123="",0,IF(COUNTIF($A$5:A123,A123)=1,1,0))</f>
        <v>0</v>
      </c>
    </row>
    <row r="124" customFormat="false" ht="15" hidden="false" customHeight="false" outlineLevel="0" collapsed="false">
      <c r="A124" s="12"/>
      <c r="B124" s="12"/>
      <c r="C124" s="22"/>
      <c r="D124" s="22"/>
      <c r="E124" s="13"/>
      <c r="F124" s="12"/>
      <c r="G124" s="20" t="str">
        <f aca="false">IF(OR(C124="",D124=""),"",D124-C124)</f>
        <v/>
      </c>
      <c r="H124" s="20" t="n">
        <f aca="false">IF(A124="",0,IF(COUNTIF($A$5:A124,A124)=1,1,0))</f>
        <v>0</v>
      </c>
    </row>
    <row r="125" customFormat="false" ht="15" hidden="false" customHeight="false" outlineLevel="0" collapsed="false">
      <c r="A125" s="12"/>
      <c r="B125" s="12"/>
      <c r="C125" s="22"/>
      <c r="D125" s="22"/>
      <c r="E125" s="13"/>
      <c r="F125" s="12"/>
      <c r="G125" s="20" t="str">
        <f aca="false">IF(OR(C125="",D125=""),"",D125-C125)</f>
        <v/>
      </c>
      <c r="H125" s="20" t="n">
        <f aca="false">IF(A125="",0,IF(COUNTIF($A$5:A125,A125)=1,1,0))</f>
        <v>0</v>
      </c>
    </row>
    <row r="126" customFormat="false" ht="15" hidden="false" customHeight="false" outlineLevel="0" collapsed="false">
      <c r="A126" s="12"/>
      <c r="B126" s="12"/>
      <c r="C126" s="22"/>
      <c r="D126" s="22"/>
      <c r="E126" s="13"/>
      <c r="F126" s="12"/>
      <c r="G126" s="20" t="str">
        <f aca="false">IF(OR(C126="",D126=""),"",D126-C126)</f>
        <v/>
      </c>
      <c r="H126" s="20" t="n">
        <f aca="false">IF(A126="",0,IF(COUNTIF($A$5:A126,A126)=1,1,0))</f>
        <v>0</v>
      </c>
    </row>
    <row r="127" customFormat="false" ht="15" hidden="false" customHeight="false" outlineLevel="0" collapsed="false">
      <c r="A127" s="12"/>
      <c r="B127" s="12"/>
      <c r="C127" s="22"/>
      <c r="D127" s="22"/>
      <c r="E127" s="13"/>
      <c r="F127" s="12"/>
      <c r="G127" s="20" t="str">
        <f aca="false">IF(OR(C127="",D127=""),"",D127-C127)</f>
        <v/>
      </c>
      <c r="H127" s="20" t="n">
        <f aca="false">IF(A127="",0,IF(COUNTIF($A$5:A127,A127)=1,1,0))</f>
        <v>0</v>
      </c>
    </row>
    <row r="128" customFormat="false" ht="15" hidden="false" customHeight="false" outlineLevel="0" collapsed="false">
      <c r="A128" s="12"/>
      <c r="B128" s="12"/>
      <c r="C128" s="22"/>
      <c r="D128" s="22"/>
      <c r="E128" s="13"/>
      <c r="F128" s="12"/>
      <c r="G128" s="20" t="str">
        <f aca="false">IF(OR(C128="",D128=""),"",D128-C128)</f>
        <v/>
      </c>
      <c r="H128" s="20" t="n">
        <f aca="false">IF(A128="",0,IF(COUNTIF($A$5:A128,A128)=1,1,0))</f>
        <v>0</v>
      </c>
    </row>
    <row r="129" customFormat="false" ht="15" hidden="false" customHeight="false" outlineLevel="0" collapsed="false">
      <c r="A129" s="12"/>
      <c r="B129" s="12"/>
      <c r="C129" s="22"/>
      <c r="D129" s="22"/>
      <c r="E129" s="13"/>
      <c r="F129" s="12"/>
      <c r="G129" s="20" t="str">
        <f aca="false">IF(OR(C129="",D129=""),"",D129-C129)</f>
        <v/>
      </c>
      <c r="H129" s="20" t="n">
        <f aca="false">IF(A129="",0,IF(COUNTIF($A$5:A129,A129)=1,1,0))</f>
        <v>0</v>
      </c>
    </row>
    <row r="130" customFormat="false" ht="15" hidden="false" customHeight="false" outlineLevel="0" collapsed="false">
      <c r="A130" s="12"/>
      <c r="B130" s="12"/>
      <c r="C130" s="22"/>
      <c r="D130" s="22"/>
      <c r="E130" s="13"/>
      <c r="F130" s="12"/>
      <c r="G130" s="20" t="str">
        <f aca="false">IF(OR(C130="",D130=""),"",D130-C130)</f>
        <v/>
      </c>
      <c r="H130" s="20" t="n">
        <f aca="false">IF(A130="",0,IF(COUNTIF($A$5:A130,A130)=1,1,0))</f>
        <v>0</v>
      </c>
    </row>
    <row r="131" customFormat="false" ht="15" hidden="false" customHeight="false" outlineLevel="0" collapsed="false">
      <c r="A131" s="12"/>
      <c r="B131" s="12"/>
      <c r="C131" s="22"/>
      <c r="D131" s="22"/>
      <c r="E131" s="13"/>
      <c r="F131" s="12"/>
      <c r="G131" s="20" t="str">
        <f aca="false">IF(OR(C131="",D131=""),"",D131-C131)</f>
        <v/>
      </c>
      <c r="H131" s="20" t="n">
        <f aca="false">IF(A131="",0,IF(COUNTIF($A$5:A131,A131)=1,1,0))</f>
        <v>0</v>
      </c>
    </row>
    <row r="132" customFormat="false" ht="15" hidden="false" customHeight="false" outlineLevel="0" collapsed="false">
      <c r="A132" s="12"/>
      <c r="B132" s="12"/>
      <c r="C132" s="22"/>
      <c r="D132" s="22"/>
      <c r="E132" s="13"/>
      <c r="F132" s="12"/>
      <c r="G132" s="20" t="str">
        <f aca="false">IF(OR(C132="",D132=""),"",D132-C132)</f>
        <v/>
      </c>
      <c r="H132" s="20" t="n">
        <f aca="false">IF(A132="",0,IF(COUNTIF($A$5:A132,A132)=1,1,0))</f>
        <v>0</v>
      </c>
    </row>
    <row r="133" customFormat="false" ht="15" hidden="false" customHeight="false" outlineLevel="0" collapsed="false">
      <c r="A133" s="12"/>
      <c r="B133" s="12"/>
      <c r="C133" s="22"/>
      <c r="D133" s="22"/>
      <c r="E133" s="13"/>
      <c r="F133" s="12"/>
      <c r="G133" s="20" t="str">
        <f aca="false">IF(OR(C133="",D133=""),"",D133-C133)</f>
        <v/>
      </c>
      <c r="H133" s="20" t="n">
        <f aca="false">IF(A133="",0,IF(COUNTIF($A$5:A133,A133)=1,1,0))</f>
        <v>0</v>
      </c>
    </row>
    <row r="134" customFormat="false" ht="15" hidden="false" customHeight="false" outlineLevel="0" collapsed="false">
      <c r="A134" s="12"/>
      <c r="B134" s="12"/>
      <c r="C134" s="22"/>
      <c r="D134" s="22"/>
      <c r="E134" s="13"/>
      <c r="F134" s="12"/>
      <c r="G134" s="20" t="str">
        <f aca="false">IF(OR(C134="",D134=""),"",D134-C134)</f>
        <v/>
      </c>
      <c r="H134" s="20" t="n">
        <f aca="false">IF(A134="",0,IF(COUNTIF($A$5:A134,A134)=1,1,0))</f>
        <v>0</v>
      </c>
    </row>
    <row r="135" customFormat="false" ht="15" hidden="false" customHeight="false" outlineLevel="0" collapsed="false">
      <c r="A135" s="12"/>
      <c r="B135" s="12"/>
      <c r="C135" s="22"/>
      <c r="D135" s="22"/>
      <c r="E135" s="13"/>
      <c r="F135" s="12"/>
      <c r="G135" s="20" t="str">
        <f aca="false">IF(OR(C135="",D135=""),"",D135-C135)</f>
        <v/>
      </c>
      <c r="H135" s="20" t="n">
        <f aca="false">IF(A135="",0,IF(COUNTIF($A$5:A135,A135)=1,1,0))</f>
        <v>0</v>
      </c>
    </row>
    <row r="136" customFormat="false" ht="15" hidden="false" customHeight="false" outlineLevel="0" collapsed="false">
      <c r="A136" s="12"/>
      <c r="B136" s="12"/>
      <c r="C136" s="22"/>
      <c r="D136" s="22"/>
      <c r="E136" s="13"/>
      <c r="F136" s="12"/>
      <c r="G136" s="20" t="str">
        <f aca="false">IF(OR(C136="",D136=""),"",D136-C136)</f>
        <v/>
      </c>
      <c r="H136" s="20" t="n">
        <f aca="false">IF(A136="",0,IF(COUNTIF($A$5:A136,A136)=1,1,0))</f>
        <v>0</v>
      </c>
    </row>
    <row r="137" customFormat="false" ht="15" hidden="false" customHeight="false" outlineLevel="0" collapsed="false">
      <c r="A137" s="12"/>
      <c r="B137" s="12"/>
      <c r="C137" s="22"/>
      <c r="D137" s="22"/>
      <c r="E137" s="13"/>
      <c r="F137" s="12"/>
      <c r="G137" s="20" t="str">
        <f aca="false">IF(OR(C137="",D137=""),"",D137-C137)</f>
        <v/>
      </c>
      <c r="H137" s="20" t="n">
        <f aca="false">IF(A137="",0,IF(COUNTIF($A$5:A137,A137)=1,1,0))</f>
        <v>0</v>
      </c>
    </row>
    <row r="138" customFormat="false" ht="15" hidden="false" customHeight="false" outlineLevel="0" collapsed="false">
      <c r="A138" s="12"/>
      <c r="B138" s="12"/>
      <c r="C138" s="22"/>
      <c r="D138" s="22"/>
      <c r="E138" s="13"/>
      <c r="F138" s="12"/>
      <c r="G138" s="20" t="str">
        <f aca="false">IF(OR(C138="",D138=""),"",D138-C138)</f>
        <v/>
      </c>
      <c r="H138" s="20" t="n">
        <f aca="false">IF(A138="",0,IF(COUNTIF($A$5:A138,A138)=1,1,0))</f>
        <v>0</v>
      </c>
    </row>
    <row r="139" customFormat="false" ht="15" hidden="false" customHeight="false" outlineLevel="0" collapsed="false">
      <c r="A139" s="12"/>
      <c r="B139" s="12"/>
      <c r="C139" s="22"/>
      <c r="D139" s="22"/>
      <c r="E139" s="13"/>
      <c r="F139" s="12"/>
      <c r="G139" s="20" t="str">
        <f aca="false">IF(OR(C139="",D139=""),"",D139-C139)</f>
        <v/>
      </c>
      <c r="H139" s="20" t="n">
        <f aca="false">IF(A139="",0,IF(COUNTIF($A$5:A139,A139)=1,1,0))</f>
        <v>0</v>
      </c>
    </row>
    <row r="140" customFormat="false" ht="15" hidden="false" customHeight="false" outlineLevel="0" collapsed="false">
      <c r="A140" s="12"/>
      <c r="B140" s="12"/>
      <c r="C140" s="22"/>
      <c r="D140" s="22"/>
      <c r="E140" s="13"/>
      <c r="F140" s="12"/>
      <c r="G140" s="20" t="str">
        <f aca="false">IF(OR(C140="",D140=""),"",D140-C140)</f>
        <v/>
      </c>
      <c r="H140" s="20" t="n">
        <f aca="false">IF(A140="",0,IF(COUNTIF($A$5:A140,A140)=1,1,0))</f>
        <v>0</v>
      </c>
    </row>
    <row r="141" customFormat="false" ht="15" hidden="false" customHeight="false" outlineLevel="0" collapsed="false">
      <c r="A141" s="12"/>
      <c r="B141" s="12"/>
      <c r="C141" s="22"/>
      <c r="D141" s="22"/>
      <c r="E141" s="13"/>
      <c r="F141" s="12"/>
      <c r="G141" s="20" t="str">
        <f aca="false">IF(OR(C141="",D141=""),"",D141-C141)</f>
        <v/>
      </c>
      <c r="H141" s="20" t="n">
        <f aca="false">IF(A141="",0,IF(COUNTIF($A$5:A141,A141)=1,1,0))</f>
        <v>0</v>
      </c>
    </row>
    <row r="142" customFormat="false" ht="15" hidden="false" customHeight="false" outlineLevel="0" collapsed="false">
      <c r="A142" s="12"/>
      <c r="B142" s="12"/>
      <c r="C142" s="22"/>
      <c r="D142" s="22"/>
      <c r="E142" s="13"/>
      <c r="F142" s="12"/>
      <c r="G142" s="20" t="str">
        <f aca="false">IF(OR(C142="",D142=""),"",D142-C142)</f>
        <v/>
      </c>
      <c r="H142" s="20" t="n">
        <f aca="false">IF(A142="",0,IF(COUNTIF($A$5:A142,A142)=1,1,0))</f>
        <v>0</v>
      </c>
    </row>
    <row r="143" customFormat="false" ht="15" hidden="false" customHeight="false" outlineLevel="0" collapsed="false">
      <c r="A143" s="12"/>
      <c r="B143" s="12"/>
      <c r="C143" s="22"/>
      <c r="D143" s="22"/>
      <c r="E143" s="13"/>
      <c r="F143" s="12"/>
      <c r="G143" s="20" t="str">
        <f aca="false">IF(OR(C143="",D143=""),"",D143-C143)</f>
        <v/>
      </c>
      <c r="H143" s="20" t="n">
        <f aca="false">IF(A143="",0,IF(COUNTIF($A$5:A143,A143)=1,1,0))</f>
        <v>0</v>
      </c>
    </row>
    <row r="144" customFormat="false" ht="15" hidden="false" customHeight="false" outlineLevel="0" collapsed="false">
      <c r="A144" s="12"/>
      <c r="B144" s="12"/>
      <c r="C144" s="22"/>
      <c r="D144" s="22"/>
      <c r="E144" s="13"/>
      <c r="F144" s="12"/>
      <c r="G144" s="20" t="str">
        <f aca="false">IF(OR(C144="",D144=""),"",D144-C144)</f>
        <v/>
      </c>
      <c r="H144" s="20" t="n">
        <f aca="false">IF(A144="",0,IF(COUNTIF($A$5:A144,A144)=1,1,0))</f>
        <v>0</v>
      </c>
    </row>
    <row r="145" customFormat="false" ht="15" hidden="false" customHeight="false" outlineLevel="0" collapsed="false">
      <c r="A145" s="12"/>
      <c r="B145" s="12"/>
      <c r="C145" s="22"/>
      <c r="D145" s="22"/>
      <c r="E145" s="13"/>
      <c r="F145" s="12"/>
      <c r="G145" s="20" t="str">
        <f aca="false">IF(OR(C145="",D145=""),"",D145-C145)</f>
        <v/>
      </c>
      <c r="H145" s="20" t="n">
        <f aca="false">IF(A145="",0,IF(COUNTIF($A$5:A145,A145)=1,1,0))</f>
        <v>0</v>
      </c>
    </row>
    <row r="146" customFormat="false" ht="15" hidden="false" customHeight="false" outlineLevel="0" collapsed="false">
      <c r="A146" s="12"/>
      <c r="B146" s="12"/>
      <c r="C146" s="22"/>
      <c r="D146" s="22"/>
      <c r="E146" s="13"/>
      <c r="F146" s="12"/>
      <c r="G146" s="20" t="str">
        <f aca="false">IF(OR(C146="",D146=""),"",D146-C146)</f>
        <v/>
      </c>
      <c r="H146" s="20" t="n">
        <f aca="false">IF(A146="",0,IF(COUNTIF($A$5:A146,A146)=1,1,0))</f>
        <v>0</v>
      </c>
    </row>
    <row r="147" customFormat="false" ht="15" hidden="false" customHeight="false" outlineLevel="0" collapsed="false">
      <c r="A147" s="12"/>
      <c r="B147" s="12"/>
      <c r="C147" s="22"/>
      <c r="D147" s="22"/>
      <c r="E147" s="13"/>
      <c r="F147" s="12"/>
      <c r="G147" s="20" t="str">
        <f aca="false">IF(OR(C147="",D147=""),"",D147-C147)</f>
        <v/>
      </c>
      <c r="H147" s="20" t="n">
        <f aca="false">IF(A147="",0,IF(COUNTIF($A$5:A147,A147)=1,1,0))</f>
        <v>0</v>
      </c>
    </row>
    <row r="148" customFormat="false" ht="15" hidden="false" customHeight="false" outlineLevel="0" collapsed="false">
      <c r="A148" s="12"/>
      <c r="B148" s="12"/>
      <c r="C148" s="22"/>
      <c r="D148" s="22"/>
      <c r="E148" s="13"/>
      <c r="F148" s="12"/>
      <c r="G148" s="20" t="str">
        <f aca="false">IF(OR(C148="",D148=""),"",D148-C148)</f>
        <v/>
      </c>
      <c r="H148" s="20" t="n">
        <f aca="false">IF(A148="",0,IF(COUNTIF($A$5:A148,A148)=1,1,0))</f>
        <v>0</v>
      </c>
    </row>
    <row r="149" customFormat="false" ht="15" hidden="false" customHeight="false" outlineLevel="0" collapsed="false">
      <c r="A149" s="12"/>
      <c r="B149" s="12"/>
      <c r="C149" s="22"/>
      <c r="D149" s="22"/>
      <c r="E149" s="13"/>
      <c r="F149" s="12"/>
      <c r="G149" s="20" t="str">
        <f aca="false">IF(OR(C149="",D149=""),"",D149-C149)</f>
        <v/>
      </c>
      <c r="H149" s="20" t="n">
        <f aca="false">IF(A149="",0,IF(COUNTIF($A$5:A149,A149)=1,1,0))</f>
        <v>0</v>
      </c>
    </row>
    <row r="150" customFormat="false" ht="15" hidden="false" customHeight="false" outlineLevel="0" collapsed="false">
      <c r="A150" s="12"/>
      <c r="B150" s="12"/>
      <c r="C150" s="22"/>
      <c r="D150" s="22"/>
      <c r="E150" s="13"/>
      <c r="F150" s="12"/>
      <c r="G150" s="20" t="str">
        <f aca="false">IF(OR(C150="",D150=""),"",D150-C150)</f>
        <v/>
      </c>
      <c r="H150" s="20" t="n">
        <f aca="false">IF(A150="",0,IF(COUNTIF($A$5:A150,A150)=1,1,0))</f>
        <v>0</v>
      </c>
    </row>
    <row r="151" customFormat="false" ht="15" hidden="false" customHeight="false" outlineLevel="0" collapsed="false">
      <c r="A151" s="12"/>
      <c r="B151" s="12"/>
      <c r="C151" s="22"/>
      <c r="D151" s="22"/>
      <c r="E151" s="13"/>
      <c r="F151" s="12"/>
      <c r="G151" s="20" t="str">
        <f aca="false">IF(OR(C151="",D151=""),"",D151-C151)</f>
        <v/>
      </c>
      <c r="H151" s="20" t="n">
        <f aca="false">IF(A151="",0,IF(COUNTIF($A$5:A151,A151)=1,1,0))</f>
        <v>0</v>
      </c>
    </row>
    <row r="152" customFormat="false" ht="15" hidden="false" customHeight="false" outlineLevel="0" collapsed="false">
      <c r="A152" s="12"/>
      <c r="B152" s="12"/>
      <c r="C152" s="22"/>
      <c r="D152" s="22"/>
      <c r="E152" s="13"/>
      <c r="F152" s="12"/>
      <c r="G152" s="20" t="str">
        <f aca="false">IF(OR(C152="",D152=""),"",D152-C152)</f>
        <v/>
      </c>
      <c r="H152" s="20" t="n">
        <f aca="false">IF(A152="",0,IF(COUNTIF($A$5:A152,A152)=1,1,0))</f>
        <v>0</v>
      </c>
    </row>
    <row r="153" customFormat="false" ht="15" hidden="false" customHeight="false" outlineLevel="0" collapsed="false">
      <c r="A153" s="12"/>
      <c r="B153" s="12"/>
      <c r="C153" s="22"/>
      <c r="D153" s="22"/>
      <c r="E153" s="13"/>
      <c r="F153" s="12"/>
      <c r="G153" s="20" t="str">
        <f aca="false">IF(OR(C153="",D153=""),"",D153-C153)</f>
        <v/>
      </c>
      <c r="H153" s="20" t="n">
        <f aca="false">IF(A153="",0,IF(COUNTIF($A$5:A153,A153)=1,1,0))</f>
        <v>0</v>
      </c>
    </row>
    <row r="154" customFormat="false" ht="15" hidden="false" customHeight="false" outlineLevel="0" collapsed="false">
      <c r="A154" s="12"/>
      <c r="B154" s="12"/>
      <c r="C154" s="22"/>
      <c r="D154" s="22"/>
      <c r="E154" s="13"/>
      <c r="F154" s="12"/>
      <c r="G154" s="20" t="str">
        <f aca="false">IF(OR(C154="",D154=""),"",D154-C154)</f>
        <v/>
      </c>
      <c r="H154" s="20" t="n">
        <f aca="false">IF(A154="",0,IF(COUNTIF($A$5:A154,A154)=1,1,0))</f>
        <v>0</v>
      </c>
    </row>
    <row r="155" customFormat="false" ht="15" hidden="false" customHeight="false" outlineLevel="0" collapsed="false">
      <c r="A155" s="12"/>
      <c r="B155" s="12"/>
      <c r="C155" s="22"/>
      <c r="D155" s="22"/>
      <c r="E155" s="13"/>
      <c r="F155" s="12"/>
      <c r="G155" s="20" t="str">
        <f aca="false">IF(OR(C155="",D155=""),"",D155-C155)</f>
        <v/>
      </c>
      <c r="H155" s="20" t="n">
        <f aca="false">IF(A155="",0,IF(COUNTIF($A$5:A155,A155)=1,1,0))</f>
        <v>0</v>
      </c>
    </row>
    <row r="156" customFormat="false" ht="15" hidden="false" customHeight="false" outlineLevel="0" collapsed="false">
      <c r="A156" s="12"/>
      <c r="B156" s="12"/>
      <c r="C156" s="22"/>
      <c r="D156" s="22"/>
      <c r="E156" s="13"/>
      <c r="F156" s="12"/>
      <c r="G156" s="20" t="str">
        <f aca="false">IF(OR(C156="",D156=""),"",D156-C156)</f>
        <v/>
      </c>
      <c r="H156" s="20" t="n">
        <f aca="false">IF(A156="",0,IF(COUNTIF($A$5:A156,A156)=1,1,0))</f>
        <v>0</v>
      </c>
    </row>
    <row r="157" customFormat="false" ht="15" hidden="false" customHeight="false" outlineLevel="0" collapsed="false">
      <c r="A157" s="12"/>
      <c r="B157" s="12"/>
      <c r="C157" s="22"/>
      <c r="D157" s="22"/>
      <c r="E157" s="13"/>
      <c r="F157" s="12"/>
      <c r="G157" s="20" t="str">
        <f aca="false">IF(OR(C157="",D157=""),"",D157-C157)</f>
        <v/>
      </c>
      <c r="H157" s="20" t="n">
        <f aca="false">IF(A157="",0,IF(COUNTIF($A$5:A157,A157)=1,1,0))</f>
        <v>0</v>
      </c>
    </row>
    <row r="158" customFormat="false" ht="15" hidden="false" customHeight="false" outlineLevel="0" collapsed="false">
      <c r="A158" s="12"/>
      <c r="B158" s="12"/>
      <c r="C158" s="22"/>
      <c r="D158" s="22"/>
      <c r="E158" s="13"/>
      <c r="F158" s="12"/>
      <c r="G158" s="20" t="str">
        <f aca="false">IF(OR(C158="",D158=""),"",D158-C158)</f>
        <v/>
      </c>
      <c r="H158" s="20" t="n">
        <f aca="false">IF(A158="",0,IF(COUNTIF($A$5:A158,A158)=1,1,0))</f>
        <v>0</v>
      </c>
    </row>
    <row r="159" customFormat="false" ht="15" hidden="false" customHeight="false" outlineLevel="0" collapsed="false">
      <c r="A159" s="12"/>
      <c r="B159" s="12"/>
      <c r="C159" s="22"/>
      <c r="D159" s="22"/>
      <c r="E159" s="13"/>
      <c r="F159" s="12"/>
      <c r="G159" s="20" t="str">
        <f aca="false">IF(OR(C159="",D159=""),"",D159-C159)</f>
        <v/>
      </c>
      <c r="H159" s="20" t="n">
        <f aca="false">IF(A159="",0,IF(COUNTIF($A$5:A159,A159)=1,1,0))</f>
        <v>0</v>
      </c>
    </row>
    <row r="160" customFormat="false" ht="15" hidden="false" customHeight="false" outlineLevel="0" collapsed="false">
      <c r="A160" s="12"/>
      <c r="B160" s="12"/>
      <c r="C160" s="22"/>
      <c r="D160" s="22"/>
      <c r="E160" s="13"/>
      <c r="F160" s="12"/>
      <c r="G160" s="20" t="str">
        <f aca="false">IF(OR(C160="",D160=""),"",D160-C160)</f>
        <v/>
      </c>
      <c r="H160" s="20" t="n">
        <f aca="false">IF(A160="",0,IF(COUNTIF($A$5:A160,A160)=1,1,0))</f>
        <v>0</v>
      </c>
    </row>
    <row r="161" customFormat="false" ht="15" hidden="false" customHeight="false" outlineLevel="0" collapsed="false">
      <c r="A161" s="12"/>
      <c r="B161" s="12"/>
      <c r="C161" s="22"/>
      <c r="D161" s="22"/>
      <c r="E161" s="13"/>
      <c r="F161" s="12"/>
      <c r="G161" s="20" t="str">
        <f aca="false">IF(OR(C161="",D161=""),"",D161-C161)</f>
        <v/>
      </c>
      <c r="H161" s="20" t="n">
        <f aca="false">IF(A161="",0,IF(COUNTIF($A$5:A161,A161)=1,1,0))</f>
        <v>0</v>
      </c>
    </row>
    <row r="162" customFormat="false" ht="15" hidden="false" customHeight="false" outlineLevel="0" collapsed="false">
      <c r="A162" s="12"/>
      <c r="B162" s="12"/>
      <c r="C162" s="22"/>
      <c r="D162" s="22"/>
      <c r="E162" s="13"/>
      <c r="F162" s="12"/>
      <c r="G162" s="20" t="str">
        <f aca="false">IF(OR(C162="",D162=""),"",D162-C162)</f>
        <v/>
      </c>
      <c r="H162" s="20" t="n">
        <f aca="false">IF(A162="",0,IF(COUNTIF($A$5:A162,A162)=1,1,0))</f>
        <v>0</v>
      </c>
    </row>
    <row r="163" customFormat="false" ht="15" hidden="false" customHeight="false" outlineLevel="0" collapsed="false">
      <c r="A163" s="12"/>
      <c r="B163" s="12"/>
      <c r="C163" s="22"/>
      <c r="D163" s="22"/>
      <c r="E163" s="13"/>
      <c r="F163" s="12"/>
      <c r="G163" s="20" t="str">
        <f aca="false">IF(OR(C163="",D163=""),"",D163-C163)</f>
        <v/>
      </c>
      <c r="H163" s="20" t="n">
        <f aca="false">IF(A163="",0,IF(COUNTIF($A$5:A163,A163)=1,1,0))</f>
        <v>0</v>
      </c>
    </row>
    <row r="164" customFormat="false" ht="15" hidden="false" customHeight="false" outlineLevel="0" collapsed="false">
      <c r="A164" s="12"/>
      <c r="B164" s="12"/>
      <c r="C164" s="22"/>
      <c r="D164" s="22"/>
      <c r="E164" s="13"/>
      <c r="F164" s="12"/>
      <c r="G164" s="20" t="str">
        <f aca="false">IF(OR(C164="",D164=""),"",D164-C164)</f>
        <v/>
      </c>
      <c r="H164" s="20" t="n">
        <f aca="false">IF(A164="",0,IF(COUNTIF($A$5:A164,A164)=1,1,0))</f>
        <v>0</v>
      </c>
    </row>
    <row r="165" customFormat="false" ht="15" hidden="false" customHeight="false" outlineLevel="0" collapsed="false">
      <c r="A165" s="12"/>
      <c r="B165" s="12"/>
      <c r="C165" s="22"/>
      <c r="D165" s="22"/>
      <c r="E165" s="13"/>
      <c r="F165" s="12"/>
      <c r="G165" s="20" t="str">
        <f aca="false">IF(OR(C165="",D165=""),"",D165-C165)</f>
        <v/>
      </c>
      <c r="H165" s="20" t="n">
        <f aca="false">IF(A165="",0,IF(COUNTIF($A$5:A165,A165)=1,1,0))</f>
        <v>0</v>
      </c>
    </row>
    <row r="166" customFormat="false" ht="15" hidden="false" customHeight="false" outlineLevel="0" collapsed="false">
      <c r="A166" s="12"/>
      <c r="B166" s="12"/>
      <c r="C166" s="22"/>
      <c r="D166" s="22"/>
      <c r="E166" s="13"/>
      <c r="F166" s="12"/>
      <c r="G166" s="20" t="str">
        <f aca="false">IF(OR(C166="",D166=""),"",D166-C166)</f>
        <v/>
      </c>
      <c r="H166" s="20" t="n">
        <f aca="false">IF(A166="",0,IF(COUNTIF($A$5:A166,A166)=1,1,0))</f>
        <v>0</v>
      </c>
    </row>
    <row r="167" customFormat="false" ht="15" hidden="false" customHeight="false" outlineLevel="0" collapsed="false">
      <c r="A167" s="12"/>
      <c r="B167" s="12"/>
      <c r="C167" s="22"/>
      <c r="D167" s="22"/>
      <c r="E167" s="13"/>
      <c r="F167" s="12"/>
      <c r="G167" s="20" t="str">
        <f aca="false">IF(OR(C167="",D167=""),"",D167-C167)</f>
        <v/>
      </c>
      <c r="H167" s="20" t="n">
        <f aca="false">IF(A167="",0,IF(COUNTIF($A$5:A167,A167)=1,1,0))</f>
        <v>0</v>
      </c>
    </row>
    <row r="168" customFormat="false" ht="15" hidden="false" customHeight="false" outlineLevel="0" collapsed="false">
      <c r="A168" s="12"/>
      <c r="B168" s="12"/>
      <c r="C168" s="22"/>
      <c r="D168" s="22"/>
      <c r="E168" s="13"/>
      <c r="F168" s="12"/>
      <c r="G168" s="20" t="str">
        <f aca="false">IF(OR(C168="",D168=""),"",D168-C168)</f>
        <v/>
      </c>
      <c r="H168" s="20" t="n">
        <f aca="false">IF(A168="",0,IF(COUNTIF($A$5:A168,A168)=1,1,0))</f>
        <v>0</v>
      </c>
    </row>
    <row r="169" customFormat="false" ht="15" hidden="false" customHeight="false" outlineLevel="0" collapsed="false">
      <c r="A169" s="12"/>
      <c r="B169" s="12"/>
      <c r="C169" s="22"/>
      <c r="D169" s="22"/>
      <c r="E169" s="13"/>
      <c r="F169" s="12"/>
      <c r="G169" s="20" t="str">
        <f aca="false">IF(OR(C169="",D169=""),"",D169-C169)</f>
        <v/>
      </c>
      <c r="H169" s="20" t="n">
        <f aca="false">IF(A169="",0,IF(COUNTIF($A$5:A169,A169)=1,1,0))</f>
        <v>0</v>
      </c>
    </row>
    <row r="170" customFormat="false" ht="15" hidden="false" customHeight="false" outlineLevel="0" collapsed="false">
      <c r="A170" s="12"/>
      <c r="B170" s="12"/>
      <c r="C170" s="22"/>
      <c r="D170" s="22"/>
      <c r="E170" s="13"/>
      <c r="F170" s="12"/>
      <c r="G170" s="20" t="str">
        <f aca="false">IF(OR(C170="",D170=""),"",D170-C170)</f>
        <v/>
      </c>
      <c r="H170" s="20" t="n">
        <f aca="false">IF(A170="",0,IF(COUNTIF($A$5:A170,A170)=1,1,0))</f>
        <v>0</v>
      </c>
    </row>
    <row r="171" customFormat="false" ht="15" hidden="false" customHeight="false" outlineLevel="0" collapsed="false">
      <c r="A171" s="12"/>
      <c r="B171" s="12"/>
      <c r="C171" s="22"/>
      <c r="D171" s="22"/>
      <c r="E171" s="13"/>
      <c r="F171" s="12"/>
      <c r="G171" s="20" t="str">
        <f aca="false">IF(OR(C171="",D171=""),"",D171-C171)</f>
        <v/>
      </c>
      <c r="H171" s="20" t="n">
        <f aca="false">IF(A171="",0,IF(COUNTIF($A$5:A171,A171)=1,1,0))</f>
        <v>0</v>
      </c>
    </row>
    <row r="172" customFormat="false" ht="15" hidden="false" customHeight="false" outlineLevel="0" collapsed="false">
      <c r="A172" s="12"/>
      <c r="B172" s="12"/>
      <c r="C172" s="22"/>
      <c r="D172" s="22"/>
      <c r="E172" s="13"/>
      <c r="F172" s="12"/>
      <c r="G172" s="20" t="str">
        <f aca="false">IF(OR(C172="",D172=""),"",D172-C172)</f>
        <v/>
      </c>
      <c r="H172" s="20" t="n">
        <f aca="false">IF(A172="",0,IF(COUNTIF($A$5:A172,A172)=1,1,0))</f>
        <v>0</v>
      </c>
    </row>
    <row r="173" customFormat="false" ht="15" hidden="false" customHeight="false" outlineLevel="0" collapsed="false">
      <c r="A173" s="12"/>
      <c r="B173" s="12"/>
      <c r="C173" s="22"/>
      <c r="D173" s="22"/>
      <c r="E173" s="13"/>
      <c r="F173" s="12"/>
      <c r="G173" s="20" t="str">
        <f aca="false">IF(OR(C173="",D173=""),"",D173-C173)</f>
        <v/>
      </c>
      <c r="H173" s="20" t="n">
        <f aca="false">IF(A173="",0,IF(COUNTIF($A$5:A173,A173)=1,1,0))</f>
        <v>0</v>
      </c>
    </row>
    <row r="174" customFormat="false" ht="15" hidden="false" customHeight="false" outlineLevel="0" collapsed="false">
      <c r="A174" s="12"/>
      <c r="B174" s="12"/>
      <c r="C174" s="22"/>
      <c r="D174" s="22"/>
      <c r="E174" s="13"/>
      <c r="F174" s="12"/>
      <c r="G174" s="20" t="str">
        <f aca="false">IF(OR(C174="",D174=""),"",D174-C174)</f>
        <v/>
      </c>
      <c r="H174" s="20" t="n">
        <f aca="false">IF(A174="",0,IF(COUNTIF($A$5:A174,A174)=1,1,0))</f>
        <v>0</v>
      </c>
    </row>
    <row r="175" customFormat="false" ht="15" hidden="false" customHeight="false" outlineLevel="0" collapsed="false">
      <c r="A175" s="12"/>
      <c r="B175" s="12"/>
      <c r="C175" s="22"/>
      <c r="D175" s="22"/>
      <c r="E175" s="13"/>
      <c r="F175" s="12"/>
      <c r="G175" s="20" t="str">
        <f aca="false">IF(OR(C175="",D175=""),"",D175-C175)</f>
        <v/>
      </c>
      <c r="H175" s="20" t="n">
        <f aca="false">IF(A175="",0,IF(COUNTIF($A$5:A175,A175)=1,1,0))</f>
        <v>0</v>
      </c>
    </row>
    <row r="176" customFormat="false" ht="15" hidden="false" customHeight="false" outlineLevel="0" collapsed="false">
      <c r="A176" s="12"/>
      <c r="B176" s="12"/>
      <c r="C176" s="22"/>
      <c r="D176" s="22"/>
      <c r="E176" s="13"/>
      <c r="F176" s="12"/>
      <c r="G176" s="20" t="str">
        <f aca="false">IF(OR(C176="",D176=""),"",D176-C176)</f>
        <v/>
      </c>
      <c r="H176" s="20" t="n">
        <f aca="false">IF(A176="",0,IF(COUNTIF($A$5:A176,A176)=1,1,0))</f>
        <v>0</v>
      </c>
    </row>
    <row r="177" customFormat="false" ht="15" hidden="false" customHeight="false" outlineLevel="0" collapsed="false">
      <c r="A177" s="12"/>
      <c r="B177" s="12"/>
      <c r="C177" s="22"/>
      <c r="D177" s="22"/>
      <c r="E177" s="13"/>
      <c r="F177" s="12"/>
      <c r="G177" s="20" t="str">
        <f aca="false">IF(OR(C177="",D177=""),"",D177-C177)</f>
        <v/>
      </c>
      <c r="H177" s="20" t="n">
        <f aca="false">IF(A177="",0,IF(COUNTIF($A$5:A177,A177)=1,1,0))</f>
        <v>0</v>
      </c>
    </row>
    <row r="178" customFormat="false" ht="15" hidden="false" customHeight="false" outlineLevel="0" collapsed="false">
      <c r="A178" s="12"/>
      <c r="B178" s="12"/>
      <c r="C178" s="22"/>
      <c r="D178" s="22"/>
      <c r="E178" s="13"/>
      <c r="F178" s="12"/>
      <c r="G178" s="20" t="str">
        <f aca="false">IF(OR(C178="",D178=""),"",D178-C178)</f>
        <v/>
      </c>
      <c r="H178" s="20" t="n">
        <f aca="false">IF(A178="",0,IF(COUNTIF($A$5:A178,A178)=1,1,0))</f>
        <v>0</v>
      </c>
    </row>
    <row r="179" customFormat="false" ht="15" hidden="false" customHeight="false" outlineLevel="0" collapsed="false">
      <c r="A179" s="12"/>
      <c r="B179" s="12"/>
      <c r="C179" s="22"/>
      <c r="D179" s="22"/>
      <c r="E179" s="13"/>
      <c r="F179" s="12"/>
      <c r="G179" s="20" t="str">
        <f aca="false">IF(OR(C179="",D179=""),"",D179-C179)</f>
        <v/>
      </c>
      <c r="H179" s="20" t="n">
        <f aca="false">IF(A179="",0,IF(COUNTIF($A$5:A179,A179)=1,1,0))</f>
        <v>0</v>
      </c>
    </row>
    <row r="180" customFormat="false" ht="15" hidden="false" customHeight="false" outlineLevel="0" collapsed="false">
      <c r="A180" s="12"/>
      <c r="B180" s="12"/>
      <c r="C180" s="22"/>
      <c r="D180" s="22"/>
      <c r="E180" s="13"/>
      <c r="F180" s="12"/>
      <c r="G180" s="20" t="str">
        <f aca="false">IF(OR(C180="",D180=""),"",D180-C180)</f>
        <v/>
      </c>
      <c r="H180" s="20" t="n">
        <f aca="false">IF(A180="",0,IF(COUNTIF($A$5:A180,A180)=1,1,0))</f>
        <v>0</v>
      </c>
    </row>
    <row r="181" customFormat="false" ht="15" hidden="false" customHeight="false" outlineLevel="0" collapsed="false">
      <c r="A181" s="12"/>
      <c r="B181" s="12"/>
      <c r="C181" s="22"/>
      <c r="D181" s="22"/>
      <c r="E181" s="13"/>
      <c r="F181" s="12"/>
      <c r="G181" s="20" t="str">
        <f aca="false">IF(OR(C181="",D181=""),"",D181-C181)</f>
        <v/>
      </c>
      <c r="H181" s="20" t="n">
        <f aca="false">IF(A181="",0,IF(COUNTIF($A$5:A181,A181)=1,1,0))</f>
        <v>0</v>
      </c>
    </row>
    <row r="182" customFormat="false" ht="15" hidden="false" customHeight="false" outlineLevel="0" collapsed="false">
      <c r="A182" s="12"/>
      <c r="B182" s="12"/>
      <c r="C182" s="22"/>
      <c r="D182" s="22"/>
      <c r="E182" s="13"/>
      <c r="F182" s="12"/>
      <c r="G182" s="20" t="str">
        <f aca="false">IF(OR(C182="",D182=""),"",D182-C182)</f>
        <v/>
      </c>
      <c r="H182" s="20" t="n">
        <f aca="false">IF(A182="",0,IF(COUNTIF($A$5:A182,A182)=1,1,0))</f>
        <v>0</v>
      </c>
    </row>
    <row r="183" customFormat="false" ht="15" hidden="false" customHeight="false" outlineLevel="0" collapsed="false">
      <c r="A183" s="12"/>
      <c r="B183" s="12"/>
      <c r="C183" s="22"/>
      <c r="D183" s="22"/>
      <c r="E183" s="13"/>
      <c r="F183" s="12"/>
      <c r="G183" s="20" t="str">
        <f aca="false">IF(OR(C183="",D183=""),"",D183-C183)</f>
        <v/>
      </c>
      <c r="H183" s="20" t="n">
        <f aca="false">IF(A183="",0,IF(COUNTIF($A$5:A183,A183)=1,1,0))</f>
        <v>0</v>
      </c>
    </row>
    <row r="184" customFormat="false" ht="15" hidden="false" customHeight="false" outlineLevel="0" collapsed="false">
      <c r="A184" s="12"/>
      <c r="B184" s="12"/>
      <c r="C184" s="22"/>
      <c r="D184" s="22"/>
      <c r="E184" s="13"/>
      <c r="F184" s="12"/>
      <c r="G184" s="20" t="str">
        <f aca="false">IF(OR(C184="",D184=""),"",D184-C184)</f>
        <v/>
      </c>
      <c r="H184" s="20" t="n">
        <f aca="false">IF(A184="",0,IF(COUNTIF($A$5:A184,A184)=1,1,0))</f>
        <v>0</v>
      </c>
    </row>
    <row r="185" customFormat="false" ht="15" hidden="false" customHeight="false" outlineLevel="0" collapsed="false">
      <c r="A185" s="12"/>
      <c r="B185" s="12"/>
      <c r="C185" s="22"/>
      <c r="D185" s="22"/>
      <c r="E185" s="13"/>
      <c r="F185" s="12"/>
      <c r="G185" s="20" t="str">
        <f aca="false">IF(OR(C185="",D185=""),"",D185-C185)</f>
        <v/>
      </c>
      <c r="H185" s="20" t="n">
        <f aca="false">IF(A185="",0,IF(COUNTIF($A$5:A185,A185)=1,1,0))</f>
        <v>0</v>
      </c>
    </row>
    <row r="186" customFormat="false" ht="15" hidden="false" customHeight="false" outlineLevel="0" collapsed="false">
      <c r="A186" s="12"/>
      <c r="B186" s="12"/>
      <c r="C186" s="22"/>
      <c r="D186" s="22"/>
      <c r="E186" s="13"/>
      <c r="F186" s="12"/>
      <c r="G186" s="20" t="str">
        <f aca="false">IF(OR(C186="",D186=""),"",D186-C186)</f>
        <v/>
      </c>
      <c r="H186" s="20" t="n">
        <f aca="false">IF(A186="",0,IF(COUNTIF($A$5:A186,A186)=1,1,0))</f>
        <v>0</v>
      </c>
    </row>
    <row r="187" customFormat="false" ht="15" hidden="false" customHeight="false" outlineLevel="0" collapsed="false">
      <c r="A187" s="12"/>
      <c r="B187" s="12"/>
      <c r="C187" s="22"/>
      <c r="D187" s="22"/>
      <c r="E187" s="13"/>
      <c r="F187" s="12"/>
      <c r="G187" s="20" t="str">
        <f aca="false">IF(OR(C187="",D187=""),"",D187-C187)</f>
        <v/>
      </c>
      <c r="H187" s="20" t="n">
        <f aca="false">IF(A187="",0,IF(COUNTIF($A$5:A187,A187)=1,1,0))</f>
        <v>0</v>
      </c>
    </row>
    <row r="188" customFormat="false" ht="15" hidden="false" customHeight="false" outlineLevel="0" collapsed="false">
      <c r="A188" s="12"/>
      <c r="B188" s="12"/>
      <c r="C188" s="22"/>
      <c r="D188" s="22"/>
      <c r="E188" s="13"/>
      <c r="F188" s="12"/>
      <c r="G188" s="20" t="str">
        <f aca="false">IF(OR(C188="",D188=""),"",D188-C188)</f>
        <v/>
      </c>
      <c r="H188" s="20" t="n">
        <f aca="false">IF(A188="",0,IF(COUNTIF($A$5:A188,A188)=1,1,0))</f>
        <v>0</v>
      </c>
    </row>
    <row r="189" customFormat="false" ht="15" hidden="false" customHeight="false" outlineLevel="0" collapsed="false">
      <c r="A189" s="12"/>
      <c r="B189" s="12"/>
      <c r="C189" s="22"/>
      <c r="D189" s="22"/>
      <c r="E189" s="13"/>
      <c r="F189" s="12"/>
      <c r="G189" s="20" t="str">
        <f aca="false">IF(OR(C189="",D189=""),"",D189-C189)</f>
        <v/>
      </c>
      <c r="H189" s="20" t="n">
        <f aca="false">IF(A189="",0,IF(COUNTIF($A$5:A189,A189)=1,1,0))</f>
        <v>0</v>
      </c>
    </row>
    <row r="190" customFormat="false" ht="15" hidden="false" customHeight="false" outlineLevel="0" collapsed="false">
      <c r="A190" s="12"/>
      <c r="B190" s="12"/>
      <c r="C190" s="22"/>
      <c r="D190" s="22"/>
      <c r="E190" s="13"/>
      <c r="F190" s="12"/>
      <c r="G190" s="20" t="str">
        <f aca="false">IF(OR(C190="",D190=""),"",D190-C190)</f>
        <v/>
      </c>
      <c r="H190" s="20" t="n">
        <f aca="false">IF(A190="",0,IF(COUNTIF($A$5:A190,A190)=1,1,0))</f>
        <v>0</v>
      </c>
    </row>
    <row r="191" customFormat="false" ht="15" hidden="false" customHeight="false" outlineLevel="0" collapsed="false">
      <c r="A191" s="12"/>
      <c r="B191" s="12"/>
      <c r="C191" s="22"/>
      <c r="D191" s="22"/>
      <c r="E191" s="13"/>
      <c r="F191" s="12"/>
      <c r="G191" s="20" t="str">
        <f aca="false">IF(OR(C191="",D191=""),"",D191-C191)</f>
        <v/>
      </c>
      <c r="H191" s="20" t="n">
        <f aca="false">IF(A191="",0,IF(COUNTIF($A$5:A191,A191)=1,1,0))</f>
        <v>0</v>
      </c>
    </row>
    <row r="192" customFormat="false" ht="15" hidden="false" customHeight="false" outlineLevel="0" collapsed="false">
      <c r="A192" s="12"/>
      <c r="B192" s="12"/>
      <c r="C192" s="22"/>
      <c r="D192" s="22"/>
      <c r="E192" s="13"/>
      <c r="F192" s="12"/>
      <c r="G192" s="20" t="str">
        <f aca="false">IF(OR(C192="",D192=""),"",D192-C192)</f>
        <v/>
      </c>
      <c r="H192" s="20" t="n">
        <f aca="false">IF(A192="",0,IF(COUNTIF($A$5:A192,A192)=1,1,0))</f>
        <v>0</v>
      </c>
    </row>
    <row r="193" customFormat="false" ht="15" hidden="false" customHeight="false" outlineLevel="0" collapsed="false">
      <c r="A193" s="12"/>
      <c r="B193" s="12"/>
      <c r="C193" s="22"/>
      <c r="D193" s="22"/>
      <c r="E193" s="13"/>
      <c r="F193" s="12"/>
      <c r="G193" s="20" t="str">
        <f aca="false">IF(OR(C193="",D193=""),"",D193-C193)</f>
        <v/>
      </c>
      <c r="H193" s="20" t="n">
        <f aca="false">IF(A193="",0,IF(COUNTIF($A$5:A193,A193)=1,1,0))</f>
        <v>0</v>
      </c>
    </row>
    <row r="194" customFormat="false" ht="15" hidden="false" customHeight="false" outlineLevel="0" collapsed="false">
      <c r="A194" s="12"/>
      <c r="B194" s="12"/>
      <c r="C194" s="22"/>
      <c r="D194" s="22"/>
      <c r="E194" s="13"/>
      <c r="F194" s="12"/>
      <c r="G194" s="20" t="str">
        <f aca="false">IF(OR(C194="",D194=""),"",D194-C194)</f>
        <v/>
      </c>
      <c r="H194" s="20" t="n">
        <f aca="false">IF(A194="",0,IF(COUNTIF($A$5:A194,A194)=1,1,0))</f>
        <v>0</v>
      </c>
    </row>
    <row r="195" customFormat="false" ht="15" hidden="false" customHeight="false" outlineLevel="0" collapsed="false">
      <c r="A195" s="12"/>
      <c r="B195" s="12"/>
      <c r="C195" s="22"/>
      <c r="D195" s="22"/>
      <c r="E195" s="13"/>
      <c r="F195" s="12"/>
      <c r="G195" s="20" t="str">
        <f aca="false">IF(OR(C195="",D195=""),"",D195-C195)</f>
        <v/>
      </c>
      <c r="H195" s="20" t="n">
        <f aca="false">IF(A195="",0,IF(COUNTIF($A$5:A195,A195)=1,1,0))</f>
        <v>0</v>
      </c>
    </row>
    <row r="196" customFormat="false" ht="15" hidden="false" customHeight="false" outlineLevel="0" collapsed="false">
      <c r="A196" s="12"/>
      <c r="B196" s="12"/>
      <c r="C196" s="22"/>
      <c r="D196" s="22"/>
      <c r="E196" s="13"/>
      <c r="F196" s="12"/>
      <c r="G196" s="20" t="str">
        <f aca="false">IF(OR(C196="",D196=""),"",D196-C196)</f>
        <v/>
      </c>
      <c r="H196" s="20" t="n">
        <f aca="false">IF(A196="",0,IF(COUNTIF($A$5:A196,A196)=1,1,0))</f>
        <v>0</v>
      </c>
    </row>
    <row r="197" customFormat="false" ht="15" hidden="false" customHeight="false" outlineLevel="0" collapsed="false">
      <c r="A197" s="12"/>
      <c r="B197" s="12"/>
      <c r="C197" s="22"/>
      <c r="D197" s="22"/>
      <c r="E197" s="13"/>
      <c r="F197" s="12"/>
      <c r="G197" s="20" t="str">
        <f aca="false">IF(OR(C197="",D197=""),"",D197-C197)</f>
        <v/>
      </c>
      <c r="H197" s="20" t="n">
        <f aca="false">IF(A197="",0,IF(COUNTIF($A$5:A197,A197)=1,1,0))</f>
        <v>0</v>
      </c>
    </row>
    <row r="198" customFormat="false" ht="15" hidden="false" customHeight="false" outlineLevel="0" collapsed="false">
      <c r="A198" s="12"/>
      <c r="B198" s="12"/>
      <c r="C198" s="22"/>
      <c r="D198" s="22"/>
      <c r="E198" s="13"/>
      <c r="F198" s="12"/>
      <c r="G198" s="20" t="str">
        <f aca="false">IF(OR(C198="",D198=""),"",D198-C198)</f>
        <v/>
      </c>
      <c r="H198" s="20" t="n">
        <f aca="false">IF(A198="",0,IF(COUNTIF($A$5:A198,A198)=1,1,0))</f>
        <v>0</v>
      </c>
    </row>
    <row r="199" customFormat="false" ht="15" hidden="false" customHeight="false" outlineLevel="0" collapsed="false">
      <c r="A199" s="12"/>
      <c r="B199" s="12"/>
      <c r="C199" s="22"/>
      <c r="D199" s="22"/>
      <c r="E199" s="13"/>
      <c r="F199" s="12"/>
      <c r="G199" s="20" t="str">
        <f aca="false">IF(OR(C199="",D199=""),"",D199-C199)</f>
        <v/>
      </c>
      <c r="H199" s="20" t="n">
        <f aca="false">IF(A199="",0,IF(COUNTIF($A$5:A199,A199)=1,1,0))</f>
        <v>0</v>
      </c>
    </row>
    <row r="200" customFormat="false" ht="15" hidden="false" customHeight="false" outlineLevel="0" collapsed="false">
      <c r="A200" s="12"/>
      <c r="B200" s="12"/>
      <c r="C200" s="22"/>
      <c r="D200" s="22"/>
      <c r="E200" s="13"/>
      <c r="F200" s="12"/>
      <c r="G200" s="20" t="str">
        <f aca="false">IF(OR(C200="",D200=""),"",D200-C200)</f>
        <v/>
      </c>
      <c r="H200" s="20" t="n">
        <f aca="false">IF(A200="",0,IF(COUNTIF($A$5:A200,A200)=1,1,0))</f>
        <v>0</v>
      </c>
    </row>
    <row r="201" customFormat="false" ht="15" hidden="false" customHeight="false" outlineLevel="0" collapsed="false">
      <c r="A201" s="12"/>
      <c r="B201" s="12"/>
      <c r="C201" s="22"/>
      <c r="D201" s="22"/>
      <c r="E201" s="13"/>
      <c r="F201" s="12"/>
      <c r="G201" s="20" t="str">
        <f aca="false">IF(OR(C201="",D201=""),"",D201-C201)</f>
        <v/>
      </c>
      <c r="H201" s="20" t="n">
        <f aca="false">IF(A201="",0,IF(COUNTIF($A$5:A201,A201)=1,1,0))</f>
        <v>0</v>
      </c>
    </row>
    <row r="202" customFormat="false" ht="15" hidden="false" customHeight="false" outlineLevel="0" collapsed="false">
      <c r="A202" s="12"/>
      <c r="B202" s="12"/>
      <c r="C202" s="22"/>
      <c r="D202" s="22"/>
      <c r="E202" s="13"/>
      <c r="F202" s="12"/>
      <c r="G202" s="20" t="str">
        <f aca="false">IF(OR(C202="",D202=""),"",D202-C202)</f>
        <v/>
      </c>
      <c r="H202" s="20" t="n">
        <f aca="false">IF(A202="",0,IF(COUNTIF($A$5:A202,A202)=1,1,0))</f>
        <v>0</v>
      </c>
    </row>
    <row r="203" customFormat="false" ht="15" hidden="false" customHeight="false" outlineLevel="0" collapsed="false">
      <c r="A203" s="12"/>
      <c r="B203" s="12"/>
      <c r="C203" s="22"/>
      <c r="D203" s="22"/>
      <c r="E203" s="13"/>
      <c r="F203" s="12"/>
      <c r="G203" s="20" t="str">
        <f aca="false">IF(OR(C203="",D203=""),"",D203-C203)</f>
        <v/>
      </c>
      <c r="H203" s="20" t="n">
        <f aca="false">IF(A203="",0,IF(COUNTIF($A$5:A203,A203)=1,1,0))</f>
        <v>0</v>
      </c>
    </row>
    <row r="204" customFormat="false" ht="15" hidden="false" customHeight="false" outlineLevel="0" collapsed="false">
      <c r="A204" s="12"/>
      <c r="B204" s="12"/>
      <c r="C204" s="22"/>
      <c r="D204" s="22"/>
      <c r="E204" s="13"/>
      <c r="F204" s="12"/>
      <c r="G204" s="20" t="str">
        <f aca="false">IF(OR(C204="",D204=""),"",D204-C204)</f>
        <v/>
      </c>
      <c r="H204" s="20" t="n">
        <f aca="false">IF(A204="",0,IF(COUNTIF($A$5:A204,A204)=1,1,0))</f>
        <v>0</v>
      </c>
    </row>
  </sheetData>
  <sheetProtection sheet="true" formatCells="false" formatColumns="false" formatRows="false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7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9"/>
  </cols>
  <sheetData>
    <row r="1" customFormat="false" ht="25.5" hidden="false" customHeight="true" outlineLevel="0" collapsed="false">
      <c r="A1" s="1" t="s">
        <v>208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2" t="s">
        <v>209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15" t="s">
        <v>210</v>
      </c>
      <c r="B4" s="15" t="s">
        <v>211</v>
      </c>
      <c r="C4" s="15" t="s">
        <v>212</v>
      </c>
      <c r="D4" s="15" t="s">
        <v>213</v>
      </c>
      <c r="E4" s="15" t="s">
        <v>214</v>
      </c>
      <c r="F4" s="15" t="s">
        <v>215</v>
      </c>
      <c r="G4" s="15" t="s">
        <v>216</v>
      </c>
      <c r="H4" s="15" t="s">
        <v>217</v>
      </c>
      <c r="I4" s="15" t="s">
        <v>218</v>
      </c>
    </row>
    <row r="5" customFormat="false" ht="15" hidden="false" customHeight="false" outlineLevel="0" collapsed="false">
      <c r="A5" s="20" t="str">
        <f aca="false">IF(COUNT('2 Import Main'!C5:DB5)=0,"",5)</f>
        <v/>
      </c>
      <c r="B5" s="20" t="n">
        <f aca="false">COUNT('2 Import Main'!C5:DB5)</f>
        <v>0</v>
      </c>
      <c r="C5" s="19" t="str">
        <f aca="false">IFERROR(AVERAGEIF('2 Import Main'!$C$3:$DB$3,"F",'2 Import Main'!C5:DB5),"")</f>
        <v/>
      </c>
      <c r="D5" s="19" t="str">
        <f aca="false">IFERROR(AVERAGEIF('2 Import Main'!$C$3:$DB$3,"R",'2 Import Main'!C5:DB5),"")</f>
        <v/>
      </c>
      <c r="E5" s="20" t="n">
        <f aca="false">IFERROR(MAX('2 Import Main'!C5:DB5),"")</f>
        <v>0</v>
      </c>
      <c r="F5" s="20" t="n">
        <f aca="false">IFERROR(MIN('2 Import Main'!C5:DB5),"")</f>
        <v>0</v>
      </c>
      <c r="G5" s="20" t="str">
        <f aca="false">IF(B5=0,"",IF(E5=F5,1,0))</f>
        <v/>
      </c>
      <c r="H5" s="20" t="n">
        <f aca="false">IF(OR(B5=0,C5="",D5=""),0,IF(OR(AND(C5&gt;=4,D5&gt;=4),AND(C5&lt;=2,D5&lt;=2)),1,0))</f>
        <v>0</v>
      </c>
      <c r="I5" s="20" t="str">
        <f aca="false">IF(B5=0,"",IF(OR(G5=1,H5=1),0,1))</f>
        <v/>
      </c>
    </row>
    <row r="6" customFormat="false" ht="15" hidden="false" customHeight="false" outlineLevel="0" collapsed="false">
      <c r="A6" s="20" t="str">
        <f aca="false">IF(COUNT('2 Import Main'!C6:DB6)=0,"",6)</f>
        <v/>
      </c>
      <c r="B6" s="20" t="n">
        <f aca="false">COUNT('2 Import Main'!C6:DB6)</f>
        <v>0</v>
      </c>
      <c r="C6" s="19" t="str">
        <f aca="false">IFERROR(AVERAGEIF('2 Import Main'!$C$3:$DB$3,"F",'2 Import Main'!C6:DB6),"")</f>
        <v/>
      </c>
      <c r="D6" s="19" t="str">
        <f aca="false">IFERROR(AVERAGEIF('2 Import Main'!$C$3:$DB$3,"R",'2 Import Main'!C6:DB6),"")</f>
        <v/>
      </c>
      <c r="E6" s="20" t="n">
        <f aca="false">IFERROR(MAX('2 Import Main'!C6:DB6),"")</f>
        <v>0</v>
      </c>
      <c r="F6" s="20" t="n">
        <f aca="false">IFERROR(MIN('2 Import Main'!C6:DB6),"")</f>
        <v>0</v>
      </c>
      <c r="G6" s="20" t="str">
        <f aca="false">IF(B6=0,"",IF(E6=F6,1,0))</f>
        <v/>
      </c>
      <c r="H6" s="20" t="n">
        <f aca="false">IF(OR(B6=0,C6="",D6=""),0,IF(OR(AND(C6&gt;=4,D6&gt;=4),AND(C6&lt;=2,D6&lt;=2)),1,0))</f>
        <v>0</v>
      </c>
      <c r="I6" s="20" t="str">
        <f aca="false">IF(B6=0,"",IF(OR(G6=1,H6=1),0,1))</f>
        <v/>
      </c>
    </row>
    <row r="7" customFormat="false" ht="15" hidden="false" customHeight="false" outlineLevel="0" collapsed="false">
      <c r="A7" s="20" t="str">
        <f aca="false">IF(COUNT('2 Import Main'!C7:DB7)=0,"",7)</f>
        <v/>
      </c>
      <c r="B7" s="20" t="n">
        <f aca="false">COUNT('2 Import Main'!C7:DB7)</f>
        <v>0</v>
      </c>
      <c r="C7" s="19" t="str">
        <f aca="false">IFERROR(AVERAGEIF('2 Import Main'!$C$3:$DB$3,"F",'2 Import Main'!C7:DB7),"")</f>
        <v/>
      </c>
      <c r="D7" s="19" t="str">
        <f aca="false">IFERROR(AVERAGEIF('2 Import Main'!$C$3:$DB$3,"R",'2 Import Main'!C7:DB7),"")</f>
        <v/>
      </c>
      <c r="E7" s="20" t="n">
        <f aca="false">IFERROR(MAX('2 Import Main'!C7:DB7),"")</f>
        <v>0</v>
      </c>
      <c r="F7" s="20" t="n">
        <f aca="false">IFERROR(MIN('2 Import Main'!C7:DB7),"")</f>
        <v>0</v>
      </c>
      <c r="G7" s="20" t="str">
        <f aca="false">IF(B7=0,"",IF(E7=F7,1,0))</f>
        <v/>
      </c>
      <c r="H7" s="20" t="n">
        <f aca="false">IF(OR(B7=0,C7="",D7=""),0,IF(OR(AND(C7&gt;=4,D7&gt;=4),AND(C7&lt;=2,D7&lt;=2)),1,0))</f>
        <v>0</v>
      </c>
      <c r="I7" s="20" t="str">
        <f aca="false">IF(B7=0,"",IF(OR(G7=1,H7=1),0,1))</f>
        <v/>
      </c>
    </row>
    <row r="8" customFormat="false" ht="15" hidden="false" customHeight="false" outlineLevel="0" collapsed="false">
      <c r="A8" s="20" t="str">
        <f aca="false">IF(COUNT('2 Import Main'!C8:DB8)=0,"",8)</f>
        <v/>
      </c>
      <c r="B8" s="20" t="n">
        <f aca="false">COUNT('2 Import Main'!C8:DB8)</f>
        <v>0</v>
      </c>
      <c r="C8" s="19" t="str">
        <f aca="false">IFERROR(AVERAGEIF('2 Import Main'!$C$3:$DB$3,"F",'2 Import Main'!C8:DB8),"")</f>
        <v/>
      </c>
      <c r="D8" s="19" t="str">
        <f aca="false">IFERROR(AVERAGEIF('2 Import Main'!$C$3:$DB$3,"R",'2 Import Main'!C8:DB8),"")</f>
        <v/>
      </c>
      <c r="E8" s="20" t="n">
        <f aca="false">IFERROR(MAX('2 Import Main'!C8:DB8),"")</f>
        <v>0</v>
      </c>
      <c r="F8" s="20" t="n">
        <f aca="false">IFERROR(MIN('2 Import Main'!C8:DB8),"")</f>
        <v>0</v>
      </c>
      <c r="G8" s="20" t="str">
        <f aca="false">IF(B8=0,"",IF(E8=F8,1,0))</f>
        <v/>
      </c>
      <c r="H8" s="20" t="n">
        <f aca="false">IF(OR(B8=0,C8="",D8=""),0,IF(OR(AND(C8&gt;=4,D8&gt;=4),AND(C8&lt;=2,D8&lt;=2)),1,0))</f>
        <v>0</v>
      </c>
      <c r="I8" s="20" t="str">
        <f aca="false">IF(B8=0,"",IF(OR(G8=1,H8=1),0,1))</f>
        <v/>
      </c>
    </row>
    <row r="9" customFormat="false" ht="15" hidden="false" customHeight="false" outlineLevel="0" collapsed="false">
      <c r="A9" s="20" t="str">
        <f aca="false">IF(COUNT('2 Import Main'!C9:DB9)=0,"",9)</f>
        <v/>
      </c>
      <c r="B9" s="20" t="n">
        <f aca="false">COUNT('2 Import Main'!C9:DB9)</f>
        <v>0</v>
      </c>
      <c r="C9" s="19" t="str">
        <f aca="false">IFERROR(AVERAGEIF('2 Import Main'!$C$3:$DB$3,"F",'2 Import Main'!C9:DB9),"")</f>
        <v/>
      </c>
      <c r="D9" s="19" t="str">
        <f aca="false">IFERROR(AVERAGEIF('2 Import Main'!$C$3:$DB$3,"R",'2 Import Main'!C9:DB9),"")</f>
        <v/>
      </c>
      <c r="E9" s="20" t="n">
        <f aca="false">IFERROR(MAX('2 Import Main'!C9:DB9),"")</f>
        <v>0</v>
      </c>
      <c r="F9" s="20" t="n">
        <f aca="false">IFERROR(MIN('2 Import Main'!C9:DB9),"")</f>
        <v>0</v>
      </c>
      <c r="G9" s="20" t="str">
        <f aca="false">IF(B9=0,"",IF(E9=F9,1,0))</f>
        <v/>
      </c>
      <c r="H9" s="20" t="n">
        <f aca="false">IF(OR(B9=0,C9="",D9=""),0,IF(OR(AND(C9&gt;=4,D9&gt;=4),AND(C9&lt;=2,D9&lt;=2)),1,0))</f>
        <v>0</v>
      </c>
      <c r="I9" s="20" t="str">
        <f aca="false">IF(B9=0,"",IF(OR(G9=1,H9=1),0,1))</f>
        <v/>
      </c>
    </row>
    <row r="10" customFormat="false" ht="15" hidden="false" customHeight="false" outlineLevel="0" collapsed="false">
      <c r="A10" s="20" t="str">
        <f aca="false">IF(COUNT('2 Import Main'!C10:DB10)=0,"",10)</f>
        <v/>
      </c>
      <c r="B10" s="20" t="n">
        <f aca="false">COUNT('2 Import Main'!C10:DB10)</f>
        <v>0</v>
      </c>
      <c r="C10" s="19" t="str">
        <f aca="false">IFERROR(AVERAGEIF('2 Import Main'!$C$3:$DB$3,"F",'2 Import Main'!C10:DB10),"")</f>
        <v/>
      </c>
      <c r="D10" s="19" t="str">
        <f aca="false">IFERROR(AVERAGEIF('2 Import Main'!$C$3:$DB$3,"R",'2 Import Main'!C10:DB10),"")</f>
        <v/>
      </c>
      <c r="E10" s="20" t="n">
        <f aca="false">IFERROR(MAX('2 Import Main'!C10:DB10),"")</f>
        <v>0</v>
      </c>
      <c r="F10" s="20" t="n">
        <f aca="false">IFERROR(MIN('2 Import Main'!C10:DB10),"")</f>
        <v>0</v>
      </c>
      <c r="G10" s="20" t="str">
        <f aca="false">IF(B10=0,"",IF(E10=F10,1,0))</f>
        <v/>
      </c>
      <c r="H10" s="20" t="n">
        <f aca="false">IF(OR(B10=0,C10="",D10=""),0,IF(OR(AND(C10&gt;=4,D10&gt;=4),AND(C10&lt;=2,D10&lt;=2)),1,0))</f>
        <v>0</v>
      </c>
      <c r="I10" s="20" t="str">
        <f aca="false">IF(B10=0,"",IF(OR(G10=1,H10=1),0,1))</f>
        <v/>
      </c>
    </row>
    <row r="11" customFormat="false" ht="15" hidden="false" customHeight="false" outlineLevel="0" collapsed="false">
      <c r="A11" s="20" t="str">
        <f aca="false">IF(COUNT('2 Import Main'!C11:DB11)=0,"",11)</f>
        <v/>
      </c>
      <c r="B11" s="20" t="n">
        <f aca="false">COUNT('2 Import Main'!C11:DB11)</f>
        <v>0</v>
      </c>
      <c r="C11" s="19" t="str">
        <f aca="false">IFERROR(AVERAGEIF('2 Import Main'!$C$3:$DB$3,"F",'2 Import Main'!C11:DB11),"")</f>
        <v/>
      </c>
      <c r="D11" s="19" t="str">
        <f aca="false">IFERROR(AVERAGEIF('2 Import Main'!$C$3:$DB$3,"R",'2 Import Main'!C11:DB11),"")</f>
        <v/>
      </c>
      <c r="E11" s="20" t="n">
        <f aca="false">IFERROR(MAX('2 Import Main'!C11:DB11),"")</f>
        <v>0</v>
      </c>
      <c r="F11" s="20" t="n">
        <f aca="false">IFERROR(MIN('2 Import Main'!C11:DB11),"")</f>
        <v>0</v>
      </c>
      <c r="G11" s="20" t="str">
        <f aca="false">IF(B11=0,"",IF(E11=F11,1,0))</f>
        <v/>
      </c>
      <c r="H11" s="20" t="n">
        <f aca="false">IF(OR(B11=0,C11="",D11=""),0,IF(OR(AND(C11&gt;=4,D11&gt;=4),AND(C11&lt;=2,D11&lt;=2)),1,0))</f>
        <v>0</v>
      </c>
      <c r="I11" s="20" t="str">
        <f aca="false">IF(B11=0,"",IF(OR(G11=1,H11=1),0,1))</f>
        <v/>
      </c>
    </row>
    <row r="12" customFormat="false" ht="15" hidden="false" customHeight="false" outlineLevel="0" collapsed="false">
      <c r="A12" s="20" t="str">
        <f aca="false">IF(COUNT('2 Import Main'!C12:DB12)=0,"",12)</f>
        <v/>
      </c>
      <c r="B12" s="20" t="n">
        <f aca="false">COUNT('2 Import Main'!C12:DB12)</f>
        <v>0</v>
      </c>
      <c r="C12" s="19" t="str">
        <f aca="false">IFERROR(AVERAGEIF('2 Import Main'!$C$3:$DB$3,"F",'2 Import Main'!C12:DB12),"")</f>
        <v/>
      </c>
      <c r="D12" s="19" t="str">
        <f aca="false">IFERROR(AVERAGEIF('2 Import Main'!$C$3:$DB$3,"R",'2 Import Main'!C12:DB12),"")</f>
        <v/>
      </c>
      <c r="E12" s="20" t="n">
        <f aca="false">IFERROR(MAX('2 Import Main'!C12:DB12),"")</f>
        <v>0</v>
      </c>
      <c r="F12" s="20" t="n">
        <f aca="false">IFERROR(MIN('2 Import Main'!C12:DB12),"")</f>
        <v>0</v>
      </c>
      <c r="G12" s="20" t="str">
        <f aca="false">IF(B12=0,"",IF(E12=F12,1,0))</f>
        <v/>
      </c>
      <c r="H12" s="20" t="n">
        <f aca="false">IF(OR(B12=0,C12="",D12=""),0,IF(OR(AND(C12&gt;=4,D12&gt;=4),AND(C12&lt;=2,D12&lt;=2)),1,0))</f>
        <v>0</v>
      </c>
      <c r="I12" s="20" t="str">
        <f aca="false">IF(B12=0,"",IF(OR(G12=1,H12=1),0,1))</f>
        <v/>
      </c>
    </row>
    <row r="13" customFormat="false" ht="15" hidden="false" customHeight="false" outlineLevel="0" collapsed="false">
      <c r="A13" s="20" t="str">
        <f aca="false">IF(COUNT('2 Import Main'!C13:DB13)=0,"",13)</f>
        <v/>
      </c>
      <c r="B13" s="20" t="n">
        <f aca="false">COUNT('2 Import Main'!C13:DB13)</f>
        <v>0</v>
      </c>
      <c r="C13" s="19" t="str">
        <f aca="false">IFERROR(AVERAGEIF('2 Import Main'!$C$3:$DB$3,"F",'2 Import Main'!C13:DB13),"")</f>
        <v/>
      </c>
      <c r="D13" s="19" t="str">
        <f aca="false">IFERROR(AVERAGEIF('2 Import Main'!$C$3:$DB$3,"R",'2 Import Main'!C13:DB13),"")</f>
        <v/>
      </c>
      <c r="E13" s="20" t="n">
        <f aca="false">IFERROR(MAX('2 Import Main'!C13:DB13),"")</f>
        <v>0</v>
      </c>
      <c r="F13" s="20" t="n">
        <f aca="false">IFERROR(MIN('2 Import Main'!C13:DB13),"")</f>
        <v>0</v>
      </c>
      <c r="G13" s="20" t="str">
        <f aca="false">IF(B13=0,"",IF(E13=F13,1,0))</f>
        <v/>
      </c>
      <c r="H13" s="20" t="n">
        <f aca="false">IF(OR(B13=0,C13="",D13=""),0,IF(OR(AND(C13&gt;=4,D13&gt;=4),AND(C13&lt;=2,D13&lt;=2)),1,0))</f>
        <v>0</v>
      </c>
      <c r="I13" s="20" t="str">
        <f aca="false">IF(B13=0,"",IF(OR(G13=1,H13=1),0,1))</f>
        <v/>
      </c>
    </row>
    <row r="14" customFormat="false" ht="15" hidden="false" customHeight="false" outlineLevel="0" collapsed="false">
      <c r="A14" s="20" t="str">
        <f aca="false">IF(COUNT('2 Import Main'!C14:DB14)=0,"",14)</f>
        <v/>
      </c>
      <c r="B14" s="20" t="n">
        <f aca="false">COUNT('2 Import Main'!C14:DB14)</f>
        <v>0</v>
      </c>
      <c r="C14" s="19" t="str">
        <f aca="false">IFERROR(AVERAGEIF('2 Import Main'!$C$3:$DB$3,"F",'2 Import Main'!C14:DB14),"")</f>
        <v/>
      </c>
      <c r="D14" s="19" t="str">
        <f aca="false">IFERROR(AVERAGEIF('2 Import Main'!$C$3:$DB$3,"R",'2 Import Main'!C14:DB14),"")</f>
        <v/>
      </c>
      <c r="E14" s="20" t="n">
        <f aca="false">IFERROR(MAX('2 Import Main'!C14:DB14),"")</f>
        <v>0</v>
      </c>
      <c r="F14" s="20" t="n">
        <f aca="false">IFERROR(MIN('2 Import Main'!C14:DB14),"")</f>
        <v>0</v>
      </c>
      <c r="G14" s="20" t="str">
        <f aca="false">IF(B14=0,"",IF(E14=F14,1,0))</f>
        <v/>
      </c>
      <c r="H14" s="20" t="n">
        <f aca="false">IF(OR(B14=0,C14="",D14=""),0,IF(OR(AND(C14&gt;=4,D14&gt;=4),AND(C14&lt;=2,D14&lt;=2)),1,0))</f>
        <v>0</v>
      </c>
      <c r="I14" s="20" t="str">
        <f aca="false">IF(B14=0,"",IF(OR(G14=1,H14=1),0,1))</f>
        <v/>
      </c>
    </row>
    <row r="15" customFormat="false" ht="15" hidden="false" customHeight="false" outlineLevel="0" collapsed="false">
      <c r="A15" s="20" t="str">
        <f aca="false">IF(COUNT('2 Import Main'!C15:DB15)=0,"",15)</f>
        <v/>
      </c>
      <c r="B15" s="20" t="n">
        <f aca="false">COUNT('2 Import Main'!C15:DB15)</f>
        <v>0</v>
      </c>
      <c r="C15" s="19" t="str">
        <f aca="false">IFERROR(AVERAGEIF('2 Import Main'!$C$3:$DB$3,"F",'2 Import Main'!C15:DB15),"")</f>
        <v/>
      </c>
      <c r="D15" s="19" t="str">
        <f aca="false">IFERROR(AVERAGEIF('2 Import Main'!$C$3:$DB$3,"R",'2 Import Main'!C15:DB15),"")</f>
        <v/>
      </c>
      <c r="E15" s="20" t="n">
        <f aca="false">IFERROR(MAX('2 Import Main'!C15:DB15),"")</f>
        <v>0</v>
      </c>
      <c r="F15" s="20" t="n">
        <f aca="false">IFERROR(MIN('2 Import Main'!C15:DB15),"")</f>
        <v>0</v>
      </c>
      <c r="G15" s="20" t="str">
        <f aca="false">IF(B15=0,"",IF(E15=F15,1,0))</f>
        <v/>
      </c>
      <c r="H15" s="20" t="n">
        <f aca="false">IF(OR(B15=0,C15="",D15=""),0,IF(OR(AND(C15&gt;=4,D15&gt;=4),AND(C15&lt;=2,D15&lt;=2)),1,0))</f>
        <v>0</v>
      </c>
      <c r="I15" s="20" t="str">
        <f aca="false">IF(B15=0,"",IF(OR(G15=1,H15=1),0,1))</f>
        <v/>
      </c>
    </row>
    <row r="16" customFormat="false" ht="15" hidden="false" customHeight="false" outlineLevel="0" collapsed="false">
      <c r="A16" s="20" t="str">
        <f aca="false">IF(COUNT('2 Import Main'!C16:DB16)=0,"",16)</f>
        <v/>
      </c>
      <c r="B16" s="20" t="n">
        <f aca="false">COUNT('2 Import Main'!C16:DB16)</f>
        <v>0</v>
      </c>
      <c r="C16" s="19" t="str">
        <f aca="false">IFERROR(AVERAGEIF('2 Import Main'!$C$3:$DB$3,"F",'2 Import Main'!C16:DB16),"")</f>
        <v/>
      </c>
      <c r="D16" s="19" t="str">
        <f aca="false">IFERROR(AVERAGEIF('2 Import Main'!$C$3:$DB$3,"R",'2 Import Main'!C16:DB16),"")</f>
        <v/>
      </c>
      <c r="E16" s="20" t="n">
        <f aca="false">IFERROR(MAX('2 Import Main'!C16:DB16),"")</f>
        <v>0</v>
      </c>
      <c r="F16" s="20" t="n">
        <f aca="false">IFERROR(MIN('2 Import Main'!C16:DB16),"")</f>
        <v>0</v>
      </c>
      <c r="G16" s="20" t="str">
        <f aca="false">IF(B16=0,"",IF(E16=F16,1,0))</f>
        <v/>
      </c>
      <c r="H16" s="20" t="n">
        <f aca="false">IF(OR(B16=0,C16="",D16=""),0,IF(OR(AND(C16&gt;=4,D16&gt;=4),AND(C16&lt;=2,D16&lt;=2)),1,0))</f>
        <v>0</v>
      </c>
      <c r="I16" s="20" t="str">
        <f aca="false">IF(B16=0,"",IF(OR(G16=1,H16=1),0,1))</f>
        <v/>
      </c>
    </row>
    <row r="17" customFormat="false" ht="15" hidden="false" customHeight="false" outlineLevel="0" collapsed="false">
      <c r="A17" s="20" t="str">
        <f aca="false">IF(COUNT('2 Import Main'!C17:DB17)=0,"",17)</f>
        <v/>
      </c>
      <c r="B17" s="20" t="n">
        <f aca="false">COUNT('2 Import Main'!C17:DB17)</f>
        <v>0</v>
      </c>
      <c r="C17" s="19" t="str">
        <f aca="false">IFERROR(AVERAGEIF('2 Import Main'!$C$3:$DB$3,"F",'2 Import Main'!C17:DB17),"")</f>
        <v/>
      </c>
      <c r="D17" s="19" t="str">
        <f aca="false">IFERROR(AVERAGEIF('2 Import Main'!$C$3:$DB$3,"R",'2 Import Main'!C17:DB17),"")</f>
        <v/>
      </c>
      <c r="E17" s="20" t="n">
        <f aca="false">IFERROR(MAX('2 Import Main'!C17:DB17),"")</f>
        <v>0</v>
      </c>
      <c r="F17" s="20" t="n">
        <f aca="false">IFERROR(MIN('2 Import Main'!C17:DB17),"")</f>
        <v>0</v>
      </c>
      <c r="G17" s="20" t="str">
        <f aca="false">IF(B17=0,"",IF(E17=F17,1,0))</f>
        <v/>
      </c>
      <c r="H17" s="20" t="n">
        <f aca="false">IF(OR(B17=0,C17="",D17=""),0,IF(OR(AND(C17&gt;=4,D17&gt;=4),AND(C17&lt;=2,D17&lt;=2)),1,0))</f>
        <v>0</v>
      </c>
      <c r="I17" s="20" t="str">
        <f aca="false">IF(B17=0,"",IF(OR(G17=1,H17=1),0,1))</f>
        <v/>
      </c>
    </row>
    <row r="18" customFormat="false" ht="15" hidden="false" customHeight="false" outlineLevel="0" collapsed="false">
      <c r="A18" s="20" t="str">
        <f aca="false">IF(COUNT('2 Import Main'!C18:DB18)=0,"",18)</f>
        <v/>
      </c>
      <c r="B18" s="20" t="n">
        <f aca="false">COUNT('2 Import Main'!C18:DB18)</f>
        <v>0</v>
      </c>
      <c r="C18" s="19" t="str">
        <f aca="false">IFERROR(AVERAGEIF('2 Import Main'!$C$3:$DB$3,"F",'2 Import Main'!C18:DB18),"")</f>
        <v/>
      </c>
      <c r="D18" s="19" t="str">
        <f aca="false">IFERROR(AVERAGEIF('2 Import Main'!$C$3:$DB$3,"R",'2 Import Main'!C18:DB18),"")</f>
        <v/>
      </c>
      <c r="E18" s="20" t="n">
        <f aca="false">IFERROR(MAX('2 Import Main'!C18:DB18),"")</f>
        <v>0</v>
      </c>
      <c r="F18" s="20" t="n">
        <f aca="false">IFERROR(MIN('2 Import Main'!C18:DB18),"")</f>
        <v>0</v>
      </c>
      <c r="G18" s="20" t="str">
        <f aca="false">IF(B18=0,"",IF(E18=F18,1,0))</f>
        <v/>
      </c>
      <c r="H18" s="20" t="n">
        <f aca="false">IF(OR(B18=0,C18="",D18=""),0,IF(OR(AND(C18&gt;=4,D18&gt;=4),AND(C18&lt;=2,D18&lt;=2)),1,0))</f>
        <v>0</v>
      </c>
      <c r="I18" s="20" t="str">
        <f aca="false">IF(B18=0,"",IF(OR(G18=1,H18=1),0,1))</f>
        <v/>
      </c>
    </row>
    <row r="19" customFormat="false" ht="15" hidden="false" customHeight="false" outlineLevel="0" collapsed="false">
      <c r="A19" s="20" t="str">
        <f aca="false">IF(COUNT('2 Import Main'!C19:DB19)=0,"",19)</f>
        <v/>
      </c>
      <c r="B19" s="20" t="n">
        <f aca="false">COUNT('2 Import Main'!C19:DB19)</f>
        <v>0</v>
      </c>
      <c r="C19" s="19" t="str">
        <f aca="false">IFERROR(AVERAGEIF('2 Import Main'!$C$3:$DB$3,"F",'2 Import Main'!C19:DB19),"")</f>
        <v/>
      </c>
      <c r="D19" s="19" t="str">
        <f aca="false">IFERROR(AVERAGEIF('2 Import Main'!$C$3:$DB$3,"R",'2 Import Main'!C19:DB19),"")</f>
        <v/>
      </c>
      <c r="E19" s="20" t="n">
        <f aca="false">IFERROR(MAX('2 Import Main'!C19:DB19),"")</f>
        <v>0</v>
      </c>
      <c r="F19" s="20" t="n">
        <f aca="false">IFERROR(MIN('2 Import Main'!C19:DB19),"")</f>
        <v>0</v>
      </c>
      <c r="G19" s="20" t="str">
        <f aca="false">IF(B19=0,"",IF(E19=F19,1,0))</f>
        <v/>
      </c>
      <c r="H19" s="20" t="n">
        <f aca="false">IF(OR(B19=0,C19="",D19=""),0,IF(OR(AND(C19&gt;=4,D19&gt;=4),AND(C19&lt;=2,D19&lt;=2)),1,0))</f>
        <v>0</v>
      </c>
      <c r="I19" s="20" t="str">
        <f aca="false">IF(B19=0,"",IF(OR(G19=1,H19=1),0,1))</f>
        <v/>
      </c>
    </row>
    <row r="20" customFormat="false" ht="15" hidden="false" customHeight="false" outlineLevel="0" collapsed="false">
      <c r="A20" s="20" t="str">
        <f aca="false">IF(COUNT('2 Import Main'!C20:DB20)=0,"",20)</f>
        <v/>
      </c>
      <c r="B20" s="20" t="n">
        <f aca="false">COUNT('2 Import Main'!C20:DB20)</f>
        <v>0</v>
      </c>
      <c r="C20" s="19" t="str">
        <f aca="false">IFERROR(AVERAGEIF('2 Import Main'!$C$3:$DB$3,"F",'2 Import Main'!C20:DB20),"")</f>
        <v/>
      </c>
      <c r="D20" s="19" t="str">
        <f aca="false">IFERROR(AVERAGEIF('2 Import Main'!$C$3:$DB$3,"R",'2 Import Main'!C20:DB20),"")</f>
        <v/>
      </c>
      <c r="E20" s="20" t="n">
        <f aca="false">IFERROR(MAX('2 Import Main'!C20:DB20),"")</f>
        <v>0</v>
      </c>
      <c r="F20" s="20" t="n">
        <f aca="false">IFERROR(MIN('2 Import Main'!C20:DB20),"")</f>
        <v>0</v>
      </c>
      <c r="G20" s="20" t="str">
        <f aca="false">IF(B20=0,"",IF(E20=F20,1,0))</f>
        <v/>
      </c>
      <c r="H20" s="20" t="n">
        <f aca="false">IF(OR(B20=0,C20="",D20=""),0,IF(OR(AND(C20&gt;=4,D20&gt;=4),AND(C20&lt;=2,D20&lt;=2)),1,0))</f>
        <v>0</v>
      </c>
      <c r="I20" s="20" t="str">
        <f aca="false">IF(B20=0,"",IF(OR(G20=1,H20=1),0,1))</f>
        <v/>
      </c>
    </row>
    <row r="21" customFormat="false" ht="15" hidden="false" customHeight="false" outlineLevel="0" collapsed="false">
      <c r="A21" s="20" t="str">
        <f aca="false">IF(COUNT('2 Import Main'!C21:DB21)=0,"",21)</f>
        <v/>
      </c>
      <c r="B21" s="20" t="n">
        <f aca="false">COUNT('2 Import Main'!C21:DB21)</f>
        <v>0</v>
      </c>
      <c r="C21" s="19" t="str">
        <f aca="false">IFERROR(AVERAGEIF('2 Import Main'!$C$3:$DB$3,"F",'2 Import Main'!C21:DB21),"")</f>
        <v/>
      </c>
      <c r="D21" s="19" t="str">
        <f aca="false">IFERROR(AVERAGEIF('2 Import Main'!$C$3:$DB$3,"R",'2 Import Main'!C21:DB21),"")</f>
        <v/>
      </c>
      <c r="E21" s="20" t="n">
        <f aca="false">IFERROR(MAX('2 Import Main'!C21:DB21),"")</f>
        <v>0</v>
      </c>
      <c r="F21" s="20" t="n">
        <f aca="false">IFERROR(MIN('2 Import Main'!C21:DB21),"")</f>
        <v>0</v>
      </c>
      <c r="G21" s="20" t="str">
        <f aca="false">IF(B21=0,"",IF(E21=F21,1,0))</f>
        <v/>
      </c>
      <c r="H21" s="20" t="n">
        <f aca="false">IF(OR(B21=0,C21="",D21=""),0,IF(OR(AND(C21&gt;=4,D21&gt;=4),AND(C21&lt;=2,D21&lt;=2)),1,0))</f>
        <v>0</v>
      </c>
      <c r="I21" s="20" t="str">
        <f aca="false">IF(B21=0,"",IF(OR(G21=1,H21=1),0,1))</f>
        <v/>
      </c>
    </row>
    <row r="22" customFormat="false" ht="15" hidden="false" customHeight="false" outlineLevel="0" collapsed="false">
      <c r="A22" s="20" t="str">
        <f aca="false">IF(COUNT('2 Import Main'!C22:DB22)=0,"",22)</f>
        <v/>
      </c>
      <c r="B22" s="20" t="n">
        <f aca="false">COUNT('2 Import Main'!C22:DB22)</f>
        <v>0</v>
      </c>
      <c r="C22" s="19" t="str">
        <f aca="false">IFERROR(AVERAGEIF('2 Import Main'!$C$3:$DB$3,"F",'2 Import Main'!C22:DB22),"")</f>
        <v/>
      </c>
      <c r="D22" s="19" t="str">
        <f aca="false">IFERROR(AVERAGEIF('2 Import Main'!$C$3:$DB$3,"R",'2 Import Main'!C22:DB22),"")</f>
        <v/>
      </c>
      <c r="E22" s="20" t="n">
        <f aca="false">IFERROR(MAX('2 Import Main'!C22:DB22),"")</f>
        <v>0</v>
      </c>
      <c r="F22" s="20" t="n">
        <f aca="false">IFERROR(MIN('2 Import Main'!C22:DB22),"")</f>
        <v>0</v>
      </c>
      <c r="G22" s="20" t="str">
        <f aca="false">IF(B22=0,"",IF(E22=F22,1,0))</f>
        <v/>
      </c>
      <c r="H22" s="20" t="n">
        <f aca="false">IF(OR(B22=0,C22="",D22=""),0,IF(OR(AND(C22&gt;=4,D22&gt;=4),AND(C22&lt;=2,D22&lt;=2)),1,0))</f>
        <v>0</v>
      </c>
      <c r="I22" s="20" t="str">
        <f aca="false">IF(B22=0,"",IF(OR(G22=1,H22=1),0,1))</f>
        <v/>
      </c>
    </row>
    <row r="23" customFormat="false" ht="15" hidden="false" customHeight="false" outlineLevel="0" collapsed="false">
      <c r="A23" s="20" t="str">
        <f aca="false">IF(COUNT('2 Import Main'!C23:DB23)=0,"",23)</f>
        <v/>
      </c>
      <c r="B23" s="20" t="n">
        <f aca="false">COUNT('2 Import Main'!C23:DB23)</f>
        <v>0</v>
      </c>
      <c r="C23" s="19" t="str">
        <f aca="false">IFERROR(AVERAGEIF('2 Import Main'!$C$3:$DB$3,"F",'2 Import Main'!C23:DB23),"")</f>
        <v/>
      </c>
      <c r="D23" s="19" t="str">
        <f aca="false">IFERROR(AVERAGEIF('2 Import Main'!$C$3:$DB$3,"R",'2 Import Main'!C23:DB23),"")</f>
        <v/>
      </c>
      <c r="E23" s="20" t="n">
        <f aca="false">IFERROR(MAX('2 Import Main'!C23:DB23),"")</f>
        <v>0</v>
      </c>
      <c r="F23" s="20" t="n">
        <f aca="false">IFERROR(MIN('2 Import Main'!C23:DB23),"")</f>
        <v>0</v>
      </c>
      <c r="G23" s="20" t="str">
        <f aca="false">IF(B23=0,"",IF(E23=F23,1,0))</f>
        <v/>
      </c>
      <c r="H23" s="20" t="n">
        <f aca="false">IF(OR(B23=0,C23="",D23=""),0,IF(OR(AND(C23&gt;=4,D23&gt;=4),AND(C23&lt;=2,D23&lt;=2)),1,0))</f>
        <v>0</v>
      </c>
      <c r="I23" s="20" t="str">
        <f aca="false">IF(B23=0,"",IF(OR(G23=1,H23=1),0,1))</f>
        <v/>
      </c>
    </row>
    <row r="24" customFormat="false" ht="15" hidden="false" customHeight="false" outlineLevel="0" collapsed="false">
      <c r="A24" s="20" t="str">
        <f aca="false">IF(COUNT('2 Import Main'!C24:DB24)=0,"",24)</f>
        <v/>
      </c>
      <c r="B24" s="20" t="n">
        <f aca="false">COUNT('2 Import Main'!C24:DB24)</f>
        <v>0</v>
      </c>
      <c r="C24" s="19" t="str">
        <f aca="false">IFERROR(AVERAGEIF('2 Import Main'!$C$3:$DB$3,"F",'2 Import Main'!C24:DB24),"")</f>
        <v/>
      </c>
      <c r="D24" s="19" t="str">
        <f aca="false">IFERROR(AVERAGEIF('2 Import Main'!$C$3:$DB$3,"R",'2 Import Main'!C24:DB24),"")</f>
        <v/>
      </c>
      <c r="E24" s="20" t="n">
        <f aca="false">IFERROR(MAX('2 Import Main'!C24:DB24),"")</f>
        <v>0</v>
      </c>
      <c r="F24" s="20" t="n">
        <f aca="false">IFERROR(MIN('2 Import Main'!C24:DB24),"")</f>
        <v>0</v>
      </c>
      <c r="G24" s="20" t="str">
        <f aca="false">IF(B24=0,"",IF(E24=F24,1,0))</f>
        <v/>
      </c>
      <c r="H24" s="20" t="n">
        <f aca="false">IF(OR(B24=0,C24="",D24=""),0,IF(OR(AND(C24&gt;=4,D24&gt;=4),AND(C24&lt;=2,D24&lt;=2)),1,0))</f>
        <v>0</v>
      </c>
      <c r="I24" s="20" t="str">
        <f aca="false">IF(B24=0,"",IF(OR(G24=1,H24=1),0,1))</f>
        <v/>
      </c>
    </row>
    <row r="25" customFormat="false" ht="15" hidden="false" customHeight="false" outlineLevel="0" collapsed="false">
      <c r="A25" s="20" t="str">
        <f aca="false">IF(COUNT('2 Import Main'!C25:DB25)=0,"",25)</f>
        <v/>
      </c>
      <c r="B25" s="20" t="n">
        <f aca="false">COUNT('2 Import Main'!C25:DB25)</f>
        <v>0</v>
      </c>
      <c r="C25" s="19" t="str">
        <f aca="false">IFERROR(AVERAGEIF('2 Import Main'!$C$3:$DB$3,"F",'2 Import Main'!C25:DB25),"")</f>
        <v/>
      </c>
      <c r="D25" s="19" t="str">
        <f aca="false">IFERROR(AVERAGEIF('2 Import Main'!$C$3:$DB$3,"R",'2 Import Main'!C25:DB25),"")</f>
        <v/>
      </c>
      <c r="E25" s="20" t="n">
        <f aca="false">IFERROR(MAX('2 Import Main'!C25:DB25),"")</f>
        <v>0</v>
      </c>
      <c r="F25" s="20" t="n">
        <f aca="false">IFERROR(MIN('2 Import Main'!C25:DB25),"")</f>
        <v>0</v>
      </c>
      <c r="G25" s="20" t="str">
        <f aca="false">IF(B25=0,"",IF(E25=F25,1,0))</f>
        <v/>
      </c>
      <c r="H25" s="20" t="n">
        <f aca="false">IF(OR(B25=0,C25="",D25=""),0,IF(OR(AND(C25&gt;=4,D25&gt;=4),AND(C25&lt;=2,D25&lt;=2)),1,0))</f>
        <v>0</v>
      </c>
      <c r="I25" s="20" t="str">
        <f aca="false">IF(B25=0,"",IF(OR(G25=1,H25=1),0,1))</f>
        <v/>
      </c>
    </row>
    <row r="26" customFormat="false" ht="15" hidden="false" customHeight="false" outlineLevel="0" collapsed="false">
      <c r="A26" s="20" t="str">
        <f aca="false">IF(COUNT('2 Import Main'!C26:DB26)=0,"",26)</f>
        <v/>
      </c>
      <c r="B26" s="20" t="n">
        <f aca="false">COUNT('2 Import Main'!C26:DB26)</f>
        <v>0</v>
      </c>
      <c r="C26" s="19" t="str">
        <f aca="false">IFERROR(AVERAGEIF('2 Import Main'!$C$3:$DB$3,"F",'2 Import Main'!C26:DB26),"")</f>
        <v/>
      </c>
      <c r="D26" s="19" t="str">
        <f aca="false">IFERROR(AVERAGEIF('2 Import Main'!$C$3:$DB$3,"R",'2 Import Main'!C26:DB26),"")</f>
        <v/>
      </c>
      <c r="E26" s="20" t="n">
        <f aca="false">IFERROR(MAX('2 Import Main'!C26:DB26),"")</f>
        <v>0</v>
      </c>
      <c r="F26" s="20" t="n">
        <f aca="false">IFERROR(MIN('2 Import Main'!C26:DB26),"")</f>
        <v>0</v>
      </c>
      <c r="G26" s="20" t="str">
        <f aca="false">IF(B26=0,"",IF(E26=F26,1,0))</f>
        <v/>
      </c>
      <c r="H26" s="20" t="n">
        <f aca="false">IF(OR(B26=0,C26="",D26=""),0,IF(OR(AND(C26&gt;=4,D26&gt;=4),AND(C26&lt;=2,D26&lt;=2)),1,0))</f>
        <v>0</v>
      </c>
      <c r="I26" s="20" t="str">
        <f aca="false">IF(B26=0,"",IF(OR(G26=1,H26=1),0,1))</f>
        <v/>
      </c>
    </row>
    <row r="27" customFormat="false" ht="15" hidden="false" customHeight="false" outlineLevel="0" collapsed="false">
      <c r="A27" s="20" t="str">
        <f aca="false">IF(COUNT('2 Import Main'!C27:DB27)=0,"",27)</f>
        <v/>
      </c>
      <c r="B27" s="20" t="n">
        <f aca="false">COUNT('2 Import Main'!C27:DB27)</f>
        <v>0</v>
      </c>
      <c r="C27" s="19" t="str">
        <f aca="false">IFERROR(AVERAGEIF('2 Import Main'!$C$3:$DB$3,"F",'2 Import Main'!C27:DB27),"")</f>
        <v/>
      </c>
      <c r="D27" s="19" t="str">
        <f aca="false">IFERROR(AVERAGEIF('2 Import Main'!$C$3:$DB$3,"R",'2 Import Main'!C27:DB27),"")</f>
        <v/>
      </c>
      <c r="E27" s="20" t="n">
        <f aca="false">IFERROR(MAX('2 Import Main'!C27:DB27),"")</f>
        <v>0</v>
      </c>
      <c r="F27" s="20" t="n">
        <f aca="false">IFERROR(MIN('2 Import Main'!C27:DB27),"")</f>
        <v>0</v>
      </c>
      <c r="G27" s="20" t="str">
        <f aca="false">IF(B27=0,"",IF(E27=F27,1,0))</f>
        <v/>
      </c>
      <c r="H27" s="20" t="n">
        <f aca="false">IF(OR(B27=0,C27="",D27=""),0,IF(OR(AND(C27&gt;=4,D27&gt;=4),AND(C27&lt;=2,D27&lt;=2)),1,0))</f>
        <v>0</v>
      </c>
      <c r="I27" s="20" t="str">
        <f aca="false">IF(B27=0,"",IF(OR(G27=1,H27=1),0,1))</f>
        <v/>
      </c>
    </row>
    <row r="28" customFormat="false" ht="15" hidden="false" customHeight="false" outlineLevel="0" collapsed="false">
      <c r="A28" s="20" t="str">
        <f aca="false">IF(COUNT('2 Import Main'!C28:DB28)=0,"",28)</f>
        <v/>
      </c>
      <c r="B28" s="20" t="n">
        <f aca="false">COUNT('2 Import Main'!C28:DB28)</f>
        <v>0</v>
      </c>
      <c r="C28" s="19" t="str">
        <f aca="false">IFERROR(AVERAGEIF('2 Import Main'!$C$3:$DB$3,"F",'2 Import Main'!C28:DB28),"")</f>
        <v/>
      </c>
      <c r="D28" s="19" t="str">
        <f aca="false">IFERROR(AVERAGEIF('2 Import Main'!$C$3:$DB$3,"R",'2 Import Main'!C28:DB28),"")</f>
        <v/>
      </c>
      <c r="E28" s="20" t="n">
        <f aca="false">IFERROR(MAX('2 Import Main'!C28:DB28),"")</f>
        <v>0</v>
      </c>
      <c r="F28" s="20" t="n">
        <f aca="false">IFERROR(MIN('2 Import Main'!C28:DB28),"")</f>
        <v>0</v>
      </c>
      <c r="G28" s="20" t="str">
        <f aca="false">IF(B28=0,"",IF(E28=F28,1,0))</f>
        <v/>
      </c>
      <c r="H28" s="20" t="n">
        <f aca="false">IF(OR(B28=0,C28="",D28=""),0,IF(OR(AND(C28&gt;=4,D28&gt;=4),AND(C28&lt;=2,D28&lt;=2)),1,0))</f>
        <v>0</v>
      </c>
      <c r="I28" s="20" t="str">
        <f aca="false">IF(B28=0,"",IF(OR(G28=1,H28=1),0,1))</f>
        <v/>
      </c>
    </row>
    <row r="29" customFormat="false" ht="15" hidden="false" customHeight="false" outlineLevel="0" collapsed="false">
      <c r="A29" s="20" t="str">
        <f aca="false">IF(COUNT('2 Import Main'!C29:DB29)=0,"",29)</f>
        <v/>
      </c>
      <c r="B29" s="20" t="n">
        <f aca="false">COUNT('2 Import Main'!C29:DB29)</f>
        <v>0</v>
      </c>
      <c r="C29" s="19" t="str">
        <f aca="false">IFERROR(AVERAGEIF('2 Import Main'!$C$3:$DB$3,"F",'2 Import Main'!C29:DB29),"")</f>
        <v/>
      </c>
      <c r="D29" s="19" t="str">
        <f aca="false">IFERROR(AVERAGEIF('2 Import Main'!$C$3:$DB$3,"R",'2 Import Main'!C29:DB29),"")</f>
        <v/>
      </c>
      <c r="E29" s="20" t="n">
        <f aca="false">IFERROR(MAX('2 Import Main'!C29:DB29),"")</f>
        <v>0</v>
      </c>
      <c r="F29" s="20" t="n">
        <f aca="false">IFERROR(MIN('2 Import Main'!C29:DB29),"")</f>
        <v>0</v>
      </c>
      <c r="G29" s="20" t="str">
        <f aca="false">IF(B29=0,"",IF(E29=F29,1,0))</f>
        <v/>
      </c>
      <c r="H29" s="20" t="n">
        <f aca="false">IF(OR(B29=0,C29="",D29=""),0,IF(OR(AND(C29&gt;=4,D29&gt;=4),AND(C29&lt;=2,D29&lt;=2)),1,0))</f>
        <v>0</v>
      </c>
      <c r="I29" s="20" t="str">
        <f aca="false">IF(B29=0,"",IF(OR(G29=1,H29=1),0,1))</f>
        <v/>
      </c>
    </row>
    <row r="30" customFormat="false" ht="15" hidden="false" customHeight="false" outlineLevel="0" collapsed="false">
      <c r="A30" s="20" t="str">
        <f aca="false">IF(COUNT('2 Import Main'!C30:DB30)=0,"",30)</f>
        <v/>
      </c>
      <c r="B30" s="20" t="n">
        <f aca="false">COUNT('2 Import Main'!C30:DB30)</f>
        <v>0</v>
      </c>
      <c r="C30" s="19" t="str">
        <f aca="false">IFERROR(AVERAGEIF('2 Import Main'!$C$3:$DB$3,"F",'2 Import Main'!C30:DB30),"")</f>
        <v/>
      </c>
      <c r="D30" s="19" t="str">
        <f aca="false">IFERROR(AVERAGEIF('2 Import Main'!$C$3:$DB$3,"R",'2 Import Main'!C30:DB30),"")</f>
        <v/>
      </c>
      <c r="E30" s="20" t="n">
        <f aca="false">IFERROR(MAX('2 Import Main'!C30:DB30),"")</f>
        <v>0</v>
      </c>
      <c r="F30" s="20" t="n">
        <f aca="false">IFERROR(MIN('2 Import Main'!C30:DB30),"")</f>
        <v>0</v>
      </c>
      <c r="G30" s="20" t="str">
        <f aca="false">IF(B30=0,"",IF(E30=F30,1,0))</f>
        <v/>
      </c>
      <c r="H30" s="20" t="n">
        <f aca="false">IF(OR(B30=0,C30="",D30=""),0,IF(OR(AND(C30&gt;=4,D30&gt;=4),AND(C30&lt;=2,D30&lt;=2)),1,0))</f>
        <v>0</v>
      </c>
      <c r="I30" s="20" t="str">
        <f aca="false">IF(B30=0,"",IF(OR(G30=1,H30=1),0,1))</f>
        <v/>
      </c>
    </row>
    <row r="31" customFormat="false" ht="15" hidden="false" customHeight="false" outlineLevel="0" collapsed="false">
      <c r="A31" s="20" t="str">
        <f aca="false">IF(COUNT('2 Import Main'!C31:DB31)=0,"",31)</f>
        <v/>
      </c>
      <c r="B31" s="20" t="n">
        <f aca="false">COUNT('2 Import Main'!C31:DB31)</f>
        <v>0</v>
      </c>
      <c r="C31" s="19" t="str">
        <f aca="false">IFERROR(AVERAGEIF('2 Import Main'!$C$3:$DB$3,"F",'2 Import Main'!C31:DB31),"")</f>
        <v/>
      </c>
      <c r="D31" s="19" t="str">
        <f aca="false">IFERROR(AVERAGEIF('2 Import Main'!$C$3:$DB$3,"R",'2 Import Main'!C31:DB31),"")</f>
        <v/>
      </c>
      <c r="E31" s="20" t="n">
        <f aca="false">IFERROR(MAX('2 Import Main'!C31:DB31),"")</f>
        <v>0</v>
      </c>
      <c r="F31" s="20" t="n">
        <f aca="false">IFERROR(MIN('2 Import Main'!C31:DB31),"")</f>
        <v>0</v>
      </c>
      <c r="G31" s="20" t="str">
        <f aca="false">IF(B31=0,"",IF(E31=F31,1,0))</f>
        <v/>
      </c>
      <c r="H31" s="20" t="n">
        <f aca="false">IF(OR(B31=0,C31="",D31=""),0,IF(OR(AND(C31&gt;=4,D31&gt;=4),AND(C31&lt;=2,D31&lt;=2)),1,0))</f>
        <v>0</v>
      </c>
      <c r="I31" s="20" t="str">
        <f aca="false">IF(B31=0,"",IF(OR(G31=1,H31=1),0,1))</f>
        <v/>
      </c>
    </row>
    <row r="32" customFormat="false" ht="15" hidden="false" customHeight="false" outlineLevel="0" collapsed="false">
      <c r="A32" s="20" t="str">
        <f aca="false">IF(COUNT('2 Import Main'!C32:DB32)=0,"",32)</f>
        <v/>
      </c>
      <c r="B32" s="20" t="n">
        <f aca="false">COUNT('2 Import Main'!C32:DB32)</f>
        <v>0</v>
      </c>
      <c r="C32" s="19" t="str">
        <f aca="false">IFERROR(AVERAGEIF('2 Import Main'!$C$3:$DB$3,"F",'2 Import Main'!C32:DB32),"")</f>
        <v/>
      </c>
      <c r="D32" s="19" t="str">
        <f aca="false">IFERROR(AVERAGEIF('2 Import Main'!$C$3:$DB$3,"R",'2 Import Main'!C32:DB32),"")</f>
        <v/>
      </c>
      <c r="E32" s="20" t="n">
        <f aca="false">IFERROR(MAX('2 Import Main'!C32:DB32),"")</f>
        <v>0</v>
      </c>
      <c r="F32" s="20" t="n">
        <f aca="false">IFERROR(MIN('2 Import Main'!C32:DB32),"")</f>
        <v>0</v>
      </c>
      <c r="G32" s="20" t="str">
        <f aca="false">IF(B32=0,"",IF(E32=F32,1,0))</f>
        <v/>
      </c>
      <c r="H32" s="20" t="n">
        <f aca="false">IF(OR(B32=0,C32="",D32=""),0,IF(OR(AND(C32&gt;=4,D32&gt;=4),AND(C32&lt;=2,D32&lt;=2)),1,0))</f>
        <v>0</v>
      </c>
      <c r="I32" s="20" t="str">
        <f aca="false">IF(B32=0,"",IF(OR(G32=1,H32=1),0,1))</f>
        <v/>
      </c>
    </row>
    <row r="33" customFormat="false" ht="15" hidden="false" customHeight="false" outlineLevel="0" collapsed="false">
      <c r="A33" s="20" t="str">
        <f aca="false">IF(COUNT('2 Import Main'!C33:DB33)=0,"",33)</f>
        <v/>
      </c>
      <c r="B33" s="20" t="n">
        <f aca="false">COUNT('2 Import Main'!C33:DB33)</f>
        <v>0</v>
      </c>
      <c r="C33" s="19" t="str">
        <f aca="false">IFERROR(AVERAGEIF('2 Import Main'!$C$3:$DB$3,"F",'2 Import Main'!C33:DB33),"")</f>
        <v/>
      </c>
      <c r="D33" s="19" t="str">
        <f aca="false">IFERROR(AVERAGEIF('2 Import Main'!$C$3:$DB$3,"R",'2 Import Main'!C33:DB33),"")</f>
        <v/>
      </c>
      <c r="E33" s="20" t="n">
        <f aca="false">IFERROR(MAX('2 Import Main'!C33:DB33),"")</f>
        <v>0</v>
      </c>
      <c r="F33" s="20" t="n">
        <f aca="false">IFERROR(MIN('2 Import Main'!C33:DB33),"")</f>
        <v>0</v>
      </c>
      <c r="G33" s="20" t="str">
        <f aca="false">IF(B33=0,"",IF(E33=F33,1,0))</f>
        <v/>
      </c>
      <c r="H33" s="20" t="n">
        <f aca="false">IF(OR(B33=0,C33="",D33=""),0,IF(OR(AND(C33&gt;=4,D33&gt;=4),AND(C33&lt;=2,D33&lt;=2)),1,0))</f>
        <v>0</v>
      </c>
      <c r="I33" s="20" t="str">
        <f aca="false">IF(B33=0,"",IF(OR(G33=1,H33=1),0,1))</f>
        <v/>
      </c>
    </row>
    <row r="34" customFormat="false" ht="15" hidden="false" customHeight="false" outlineLevel="0" collapsed="false">
      <c r="A34" s="20" t="str">
        <f aca="false">IF(COUNT('2 Import Main'!C34:DB34)=0,"",34)</f>
        <v/>
      </c>
      <c r="B34" s="20" t="n">
        <f aca="false">COUNT('2 Import Main'!C34:DB34)</f>
        <v>0</v>
      </c>
      <c r="C34" s="19" t="str">
        <f aca="false">IFERROR(AVERAGEIF('2 Import Main'!$C$3:$DB$3,"F",'2 Import Main'!C34:DB34),"")</f>
        <v/>
      </c>
      <c r="D34" s="19" t="str">
        <f aca="false">IFERROR(AVERAGEIF('2 Import Main'!$C$3:$DB$3,"R",'2 Import Main'!C34:DB34),"")</f>
        <v/>
      </c>
      <c r="E34" s="20" t="n">
        <f aca="false">IFERROR(MAX('2 Import Main'!C34:DB34),"")</f>
        <v>0</v>
      </c>
      <c r="F34" s="20" t="n">
        <f aca="false">IFERROR(MIN('2 Import Main'!C34:DB34),"")</f>
        <v>0</v>
      </c>
      <c r="G34" s="20" t="str">
        <f aca="false">IF(B34=0,"",IF(E34=F34,1,0))</f>
        <v/>
      </c>
      <c r="H34" s="20" t="n">
        <f aca="false">IF(OR(B34=0,C34="",D34=""),0,IF(OR(AND(C34&gt;=4,D34&gt;=4),AND(C34&lt;=2,D34&lt;=2)),1,0))</f>
        <v>0</v>
      </c>
      <c r="I34" s="20" t="str">
        <f aca="false">IF(B34=0,"",IF(OR(G34=1,H34=1),0,1))</f>
        <v/>
      </c>
    </row>
    <row r="35" customFormat="false" ht="15" hidden="false" customHeight="false" outlineLevel="0" collapsed="false">
      <c r="A35" s="20" t="str">
        <f aca="false">IF(COUNT('2 Import Main'!C35:DB35)=0,"",35)</f>
        <v/>
      </c>
      <c r="B35" s="20" t="n">
        <f aca="false">COUNT('2 Import Main'!C35:DB35)</f>
        <v>0</v>
      </c>
      <c r="C35" s="19" t="str">
        <f aca="false">IFERROR(AVERAGEIF('2 Import Main'!$C$3:$DB$3,"F",'2 Import Main'!C35:DB35),"")</f>
        <v/>
      </c>
      <c r="D35" s="19" t="str">
        <f aca="false">IFERROR(AVERAGEIF('2 Import Main'!$C$3:$DB$3,"R",'2 Import Main'!C35:DB35),"")</f>
        <v/>
      </c>
      <c r="E35" s="20" t="n">
        <f aca="false">IFERROR(MAX('2 Import Main'!C35:DB35),"")</f>
        <v>0</v>
      </c>
      <c r="F35" s="20" t="n">
        <f aca="false">IFERROR(MIN('2 Import Main'!C35:DB35),"")</f>
        <v>0</v>
      </c>
      <c r="G35" s="20" t="str">
        <f aca="false">IF(B35=0,"",IF(E35=F35,1,0))</f>
        <v/>
      </c>
      <c r="H35" s="20" t="n">
        <f aca="false">IF(OR(B35=0,C35="",D35=""),0,IF(OR(AND(C35&gt;=4,D35&gt;=4),AND(C35&lt;=2,D35&lt;=2)),1,0))</f>
        <v>0</v>
      </c>
      <c r="I35" s="20" t="str">
        <f aca="false">IF(B35=0,"",IF(OR(G35=1,H35=1),0,1))</f>
        <v/>
      </c>
    </row>
    <row r="36" customFormat="false" ht="15" hidden="false" customHeight="false" outlineLevel="0" collapsed="false">
      <c r="A36" s="20" t="str">
        <f aca="false">IF(COUNT('2 Import Main'!C36:DB36)=0,"",36)</f>
        <v/>
      </c>
      <c r="B36" s="20" t="n">
        <f aca="false">COUNT('2 Import Main'!C36:DB36)</f>
        <v>0</v>
      </c>
      <c r="C36" s="19" t="str">
        <f aca="false">IFERROR(AVERAGEIF('2 Import Main'!$C$3:$DB$3,"F",'2 Import Main'!C36:DB36),"")</f>
        <v/>
      </c>
      <c r="D36" s="19" t="str">
        <f aca="false">IFERROR(AVERAGEIF('2 Import Main'!$C$3:$DB$3,"R",'2 Import Main'!C36:DB36),"")</f>
        <v/>
      </c>
      <c r="E36" s="20" t="n">
        <f aca="false">IFERROR(MAX('2 Import Main'!C36:DB36),"")</f>
        <v>0</v>
      </c>
      <c r="F36" s="20" t="n">
        <f aca="false">IFERROR(MIN('2 Import Main'!C36:DB36),"")</f>
        <v>0</v>
      </c>
      <c r="G36" s="20" t="str">
        <f aca="false">IF(B36=0,"",IF(E36=F36,1,0))</f>
        <v/>
      </c>
      <c r="H36" s="20" t="n">
        <f aca="false">IF(OR(B36=0,C36="",D36=""),0,IF(OR(AND(C36&gt;=4,D36&gt;=4),AND(C36&lt;=2,D36&lt;=2)),1,0))</f>
        <v>0</v>
      </c>
      <c r="I36" s="20" t="str">
        <f aca="false">IF(B36=0,"",IF(OR(G36=1,H36=1),0,1))</f>
        <v/>
      </c>
    </row>
    <row r="37" customFormat="false" ht="15" hidden="false" customHeight="false" outlineLevel="0" collapsed="false">
      <c r="A37" s="20" t="str">
        <f aca="false">IF(COUNT('2 Import Main'!C37:DB37)=0,"",37)</f>
        <v/>
      </c>
      <c r="B37" s="20" t="n">
        <f aca="false">COUNT('2 Import Main'!C37:DB37)</f>
        <v>0</v>
      </c>
      <c r="C37" s="19" t="str">
        <f aca="false">IFERROR(AVERAGEIF('2 Import Main'!$C$3:$DB$3,"F",'2 Import Main'!C37:DB37),"")</f>
        <v/>
      </c>
      <c r="D37" s="19" t="str">
        <f aca="false">IFERROR(AVERAGEIF('2 Import Main'!$C$3:$DB$3,"R",'2 Import Main'!C37:DB37),"")</f>
        <v/>
      </c>
      <c r="E37" s="20" t="n">
        <f aca="false">IFERROR(MAX('2 Import Main'!C37:DB37),"")</f>
        <v>0</v>
      </c>
      <c r="F37" s="20" t="n">
        <f aca="false">IFERROR(MIN('2 Import Main'!C37:DB37),"")</f>
        <v>0</v>
      </c>
      <c r="G37" s="20" t="str">
        <f aca="false">IF(B37=0,"",IF(E37=F37,1,0))</f>
        <v/>
      </c>
      <c r="H37" s="20" t="n">
        <f aca="false">IF(OR(B37=0,C37="",D37=""),0,IF(OR(AND(C37&gt;=4,D37&gt;=4),AND(C37&lt;=2,D37&lt;=2)),1,0))</f>
        <v>0</v>
      </c>
      <c r="I37" s="20" t="str">
        <f aca="false">IF(B37=0,"",IF(OR(G37=1,H37=1),0,1))</f>
        <v/>
      </c>
    </row>
    <row r="38" customFormat="false" ht="15" hidden="false" customHeight="false" outlineLevel="0" collapsed="false">
      <c r="A38" s="20" t="str">
        <f aca="false">IF(COUNT('2 Import Main'!C38:DB38)=0,"",38)</f>
        <v/>
      </c>
      <c r="B38" s="20" t="n">
        <f aca="false">COUNT('2 Import Main'!C38:DB38)</f>
        <v>0</v>
      </c>
      <c r="C38" s="19" t="str">
        <f aca="false">IFERROR(AVERAGEIF('2 Import Main'!$C$3:$DB$3,"F",'2 Import Main'!C38:DB38),"")</f>
        <v/>
      </c>
      <c r="D38" s="19" t="str">
        <f aca="false">IFERROR(AVERAGEIF('2 Import Main'!$C$3:$DB$3,"R",'2 Import Main'!C38:DB38),"")</f>
        <v/>
      </c>
      <c r="E38" s="20" t="n">
        <f aca="false">IFERROR(MAX('2 Import Main'!C38:DB38),"")</f>
        <v>0</v>
      </c>
      <c r="F38" s="20" t="n">
        <f aca="false">IFERROR(MIN('2 Import Main'!C38:DB38),"")</f>
        <v>0</v>
      </c>
      <c r="G38" s="20" t="str">
        <f aca="false">IF(B38=0,"",IF(E38=F38,1,0))</f>
        <v/>
      </c>
      <c r="H38" s="20" t="n">
        <f aca="false">IF(OR(B38=0,C38="",D38=""),0,IF(OR(AND(C38&gt;=4,D38&gt;=4),AND(C38&lt;=2,D38&lt;=2)),1,0))</f>
        <v>0</v>
      </c>
      <c r="I38" s="20" t="str">
        <f aca="false">IF(B38=0,"",IF(OR(G38=1,H38=1),0,1))</f>
        <v/>
      </c>
    </row>
    <row r="39" customFormat="false" ht="15" hidden="false" customHeight="false" outlineLevel="0" collapsed="false">
      <c r="A39" s="20" t="str">
        <f aca="false">IF(COUNT('2 Import Main'!C39:DB39)=0,"",39)</f>
        <v/>
      </c>
      <c r="B39" s="20" t="n">
        <f aca="false">COUNT('2 Import Main'!C39:DB39)</f>
        <v>0</v>
      </c>
      <c r="C39" s="19" t="str">
        <f aca="false">IFERROR(AVERAGEIF('2 Import Main'!$C$3:$DB$3,"F",'2 Import Main'!C39:DB39),"")</f>
        <v/>
      </c>
      <c r="D39" s="19" t="str">
        <f aca="false">IFERROR(AVERAGEIF('2 Import Main'!$C$3:$DB$3,"R",'2 Import Main'!C39:DB39),"")</f>
        <v/>
      </c>
      <c r="E39" s="20" t="n">
        <f aca="false">IFERROR(MAX('2 Import Main'!C39:DB39),"")</f>
        <v>0</v>
      </c>
      <c r="F39" s="20" t="n">
        <f aca="false">IFERROR(MIN('2 Import Main'!C39:DB39),"")</f>
        <v>0</v>
      </c>
      <c r="G39" s="20" t="str">
        <f aca="false">IF(B39=0,"",IF(E39=F39,1,0))</f>
        <v/>
      </c>
      <c r="H39" s="20" t="n">
        <f aca="false">IF(OR(B39=0,C39="",D39=""),0,IF(OR(AND(C39&gt;=4,D39&gt;=4),AND(C39&lt;=2,D39&lt;=2)),1,0))</f>
        <v>0</v>
      </c>
      <c r="I39" s="20" t="str">
        <f aca="false">IF(B39=0,"",IF(OR(G39=1,H39=1),0,1))</f>
        <v/>
      </c>
    </row>
    <row r="40" customFormat="false" ht="15" hidden="false" customHeight="false" outlineLevel="0" collapsed="false">
      <c r="A40" s="20" t="str">
        <f aca="false">IF(COUNT('2 Import Main'!C40:DB40)=0,"",40)</f>
        <v/>
      </c>
      <c r="B40" s="20" t="n">
        <f aca="false">COUNT('2 Import Main'!C40:DB40)</f>
        <v>0</v>
      </c>
      <c r="C40" s="19" t="str">
        <f aca="false">IFERROR(AVERAGEIF('2 Import Main'!$C$3:$DB$3,"F",'2 Import Main'!C40:DB40),"")</f>
        <v/>
      </c>
      <c r="D40" s="19" t="str">
        <f aca="false">IFERROR(AVERAGEIF('2 Import Main'!$C$3:$DB$3,"R",'2 Import Main'!C40:DB40),"")</f>
        <v/>
      </c>
      <c r="E40" s="20" t="n">
        <f aca="false">IFERROR(MAX('2 Import Main'!C40:DB40),"")</f>
        <v>0</v>
      </c>
      <c r="F40" s="20" t="n">
        <f aca="false">IFERROR(MIN('2 Import Main'!C40:DB40),"")</f>
        <v>0</v>
      </c>
      <c r="G40" s="20" t="str">
        <f aca="false">IF(B40=0,"",IF(E40=F40,1,0))</f>
        <v/>
      </c>
      <c r="H40" s="20" t="n">
        <f aca="false">IF(OR(B40=0,C40="",D40=""),0,IF(OR(AND(C40&gt;=4,D40&gt;=4),AND(C40&lt;=2,D40&lt;=2)),1,0))</f>
        <v>0</v>
      </c>
      <c r="I40" s="20" t="str">
        <f aca="false">IF(B40=0,"",IF(OR(G40=1,H40=1),0,1))</f>
        <v/>
      </c>
    </row>
    <row r="41" customFormat="false" ht="15" hidden="false" customHeight="false" outlineLevel="0" collapsed="false">
      <c r="A41" s="20" t="str">
        <f aca="false">IF(COUNT('2 Import Main'!C41:DB41)=0,"",41)</f>
        <v/>
      </c>
      <c r="B41" s="20" t="n">
        <f aca="false">COUNT('2 Import Main'!C41:DB41)</f>
        <v>0</v>
      </c>
      <c r="C41" s="19" t="str">
        <f aca="false">IFERROR(AVERAGEIF('2 Import Main'!$C$3:$DB$3,"F",'2 Import Main'!C41:DB41),"")</f>
        <v/>
      </c>
      <c r="D41" s="19" t="str">
        <f aca="false">IFERROR(AVERAGEIF('2 Import Main'!$C$3:$DB$3,"R",'2 Import Main'!C41:DB41),"")</f>
        <v/>
      </c>
      <c r="E41" s="20" t="n">
        <f aca="false">IFERROR(MAX('2 Import Main'!C41:DB41),"")</f>
        <v>0</v>
      </c>
      <c r="F41" s="20" t="n">
        <f aca="false">IFERROR(MIN('2 Import Main'!C41:DB41),"")</f>
        <v>0</v>
      </c>
      <c r="G41" s="20" t="str">
        <f aca="false">IF(B41=0,"",IF(E41=F41,1,0))</f>
        <v/>
      </c>
      <c r="H41" s="20" t="n">
        <f aca="false">IF(OR(B41=0,C41="",D41=""),0,IF(OR(AND(C41&gt;=4,D41&gt;=4),AND(C41&lt;=2,D41&lt;=2)),1,0))</f>
        <v>0</v>
      </c>
      <c r="I41" s="20" t="str">
        <f aca="false">IF(B41=0,"",IF(OR(G41=1,H41=1),0,1))</f>
        <v/>
      </c>
    </row>
    <row r="42" customFormat="false" ht="15" hidden="false" customHeight="false" outlineLevel="0" collapsed="false">
      <c r="A42" s="20" t="str">
        <f aca="false">IF(COUNT('2 Import Main'!C42:DB42)=0,"",42)</f>
        <v/>
      </c>
      <c r="B42" s="20" t="n">
        <f aca="false">COUNT('2 Import Main'!C42:DB42)</f>
        <v>0</v>
      </c>
      <c r="C42" s="19" t="str">
        <f aca="false">IFERROR(AVERAGEIF('2 Import Main'!$C$3:$DB$3,"F",'2 Import Main'!C42:DB42),"")</f>
        <v/>
      </c>
      <c r="D42" s="19" t="str">
        <f aca="false">IFERROR(AVERAGEIF('2 Import Main'!$C$3:$DB$3,"R",'2 Import Main'!C42:DB42),"")</f>
        <v/>
      </c>
      <c r="E42" s="20" t="n">
        <f aca="false">IFERROR(MAX('2 Import Main'!C42:DB42),"")</f>
        <v>0</v>
      </c>
      <c r="F42" s="20" t="n">
        <f aca="false">IFERROR(MIN('2 Import Main'!C42:DB42),"")</f>
        <v>0</v>
      </c>
      <c r="G42" s="20" t="str">
        <f aca="false">IF(B42=0,"",IF(E42=F42,1,0))</f>
        <v/>
      </c>
      <c r="H42" s="20" t="n">
        <f aca="false">IF(OR(B42=0,C42="",D42=""),0,IF(OR(AND(C42&gt;=4,D42&gt;=4),AND(C42&lt;=2,D42&lt;=2)),1,0))</f>
        <v>0</v>
      </c>
      <c r="I42" s="20" t="str">
        <f aca="false">IF(B42=0,"",IF(OR(G42=1,H42=1),0,1))</f>
        <v/>
      </c>
    </row>
    <row r="43" customFormat="false" ht="15" hidden="false" customHeight="false" outlineLevel="0" collapsed="false">
      <c r="A43" s="20" t="str">
        <f aca="false">IF(COUNT('2 Import Main'!C43:DB43)=0,"",43)</f>
        <v/>
      </c>
      <c r="B43" s="20" t="n">
        <f aca="false">COUNT('2 Import Main'!C43:DB43)</f>
        <v>0</v>
      </c>
      <c r="C43" s="19" t="str">
        <f aca="false">IFERROR(AVERAGEIF('2 Import Main'!$C$3:$DB$3,"F",'2 Import Main'!C43:DB43),"")</f>
        <v/>
      </c>
      <c r="D43" s="19" t="str">
        <f aca="false">IFERROR(AVERAGEIF('2 Import Main'!$C$3:$DB$3,"R",'2 Import Main'!C43:DB43),"")</f>
        <v/>
      </c>
      <c r="E43" s="20" t="n">
        <f aca="false">IFERROR(MAX('2 Import Main'!C43:DB43),"")</f>
        <v>0</v>
      </c>
      <c r="F43" s="20" t="n">
        <f aca="false">IFERROR(MIN('2 Import Main'!C43:DB43),"")</f>
        <v>0</v>
      </c>
      <c r="G43" s="20" t="str">
        <f aca="false">IF(B43=0,"",IF(E43=F43,1,0))</f>
        <v/>
      </c>
      <c r="H43" s="20" t="n">
        <f aca="false">IF(OR(B43=0,C43="",D43=""),0,IF(OR(AND(C43&gt;=4,D43&gt;=4),AND(C43&lt;=2,D43&lt;=2)),1,0))</f>
        <v>0</v>
      </c>
      <c r="I43" s="20" t="str">
        <f aca="false">IF(B43=0,"",IF(OR(G43=1,H43=1),0,1))</f>
        <v/>
      </c>
    </row>
    <row r="44" customFormat="false" ht="15" hidden="false" customHeight="false" outlineLevel="0" collapsed="false">
      <c r="A44" s="20" t="str">
        <f aca="false">IF(COUNT('2 Import Main'!C44:DB44)=0,"",44)</f>
        <v/>
      </c>
      <c r="B44" s="20" t="n">
        <f aca="false">COUNT('2 Import Main'!C44:DB44)</f>
        <v>0</v>
      </c>
      <c r="C44" s="19" t="str">
        <f aca="false">IFERROR(AVERAGEIF('2 Import Main'!$C$3:$DB$3,"F",'2 Import Main'!C44:DB44),"")</f>
        <v/>
      </c>
      <c r="D44" s="19" t="str">
        <f aca="false">IFERROR(AVERAGEIF('2 Import Main'!$C$3:$DB$3,"R",'2 Import Main'!C44:DB44),"")</f>
        <v/>
      </c>
      <c r="E44" s="20" t="n">
        <f aca="false">IFERROR(MAX('2 Import Main'!C44:DB44),"")</f>
        <v>0</v>
      </c>
      <c r="F44" s="20" t="n">
        <f aca="false">IFERROR(MIN('2 Import Main'!C44:DB44),"")</f>
        <v>0</v>
      </c>
      <c r="G44" s="20" t="str">
        <f aca="false">IF(B44=0,"",IF(E44=F44,1,0))</f>
        <v/>
      </c>
      <c r="H44" s="20" t="n">
        <f aca="false">IF(OR(B44=0,C44="",D44=""),0,IF(OR(AND(C44&gt;=4,D44&gt;=4),AND(C44&lt;=2,D44&lt;=2)),1,0))</f>
        <v>0</v>
      </c>
      <c r="I44" s="20" t="str">
        <f aca="false">IF(B44=0,"",IF(OR(G44=1,H44=1),0,1))</f>
        <v/>
      </c>
    </row>
    <row r="45" customFormat="false" ht="15" hidden="false" customHeight="false" outlineLevel="0" collapsed="false">
      <c r="A45" s="20" t="str">
        <f aca="false">IF(COUNT('2 Import Main'!C45:DB45)=0,"",45)</f>
        <v/>
      </c>
      <c r="B45" s="20" t="n">
        <f aca="false">COUNT('2 Import Main'!C45:DB45)</f>
        <v>0</v>
      </c>
      <c r="C45" s="19" t="str">
        <f aca="false">IFERROR(AVERAGEIF('2 Import Main'!$C$3:$DB$3,"F",'2 Import Main'!C45:DB45),"")</f>
        <v/>
      </c>
      <c r="D45" s="19" t="str">
        <f aca="false">IFERROR(AVERAGEIF('2 Import Main'!$C$3:$DB$3,"R",'2 Import Main'!C45:DB45),"")</f>
        <v/>
      </c>
      <c r="E45" s="20" t="n">
        <f aca="false">IFERROR(MAX('2 Import Main'!C45:DB45),"")</f>
        <v>0</v>
      </c>
      <c r="F45" s="20" t="n">
        <f aca="false">IFERROR(MIN('2 Import Main'!C45:DB45),"")</f>
        <v>0</v>
      </c>
      <c r="G45" s="20" t="str">
        <f aca="false">IF(B45=0,"",IF(E45=F45,1,0))</f>
        <v/>
      </c>
      <c r="H45" s="20" t="n">
        <f aca="false">IF(OR(B45=0,C45="",D45=""),0,IF(OR(AND(C45&gt;=4,D45&gt;=4),AND(C45&lt;=2,D45&lt;=2)),1,0))</f>
        <v>0</v>
      </c>
      <c r="I45" s="20" t="str">
        <f aca="false">IF(B45=0,"",IF(OR(G45=1,H45=1),0,1))</f>
        <v/>
      </c>
    </row>
    <row r="46" customFormat="false" ht="15" hidden="false" customHeight="false" outlineLevel="0" collapsed="false">
      <c r="A46" s="20" t="str">
        <f aca="false">IF(COUNT('2 Import Main'!C46:DB46)=0,"",46)</f>
        <v/>
      </c>
      <c r="B46" s="20" t="n">
        <f aca="false">COUNT('2 Import Main'!C46:DB46)</f>
        <v>0</v>
      </c>
      <c r="C46" s="19" t="str">
        <f aca="false">IFERROR(AVERAGEIF('2 Import Main'!$C$3:$DB$3,"F",'2 Import Main'!C46:DB46),"")</f>
        <v/>
      </c>
      <c r="D46" s="19" t="str">
        <f aca="false">IFERROR(AVERAGEIF('2 Import Main'!$C$3:$DB$3,"R",'2 Import Main'!C46:DB46),"")</f>
        <v/>
      </c>
      <c r="E46" s="20" t="n">
        <f aca="false">IFERROR(MAX('2 Import Main'!C46:DB46),"")</f>
        <v>0</v>
      </c>
      <c r="F46" s="20" t="n">
        <f aca="false">IFERROR(MIN('2 Import Main'!C46:DB46),"")</f>
        <v>0</v>
      </c>
      <c r="G46" s="20" t="str">
        <f aca="false">IF(B46=0,"",IF(E46=F46,1,0))</f>
        <v/>
      </c>
      <c r="H46" s="20" t="n">
        <f aca="false">IF(OR(B46=0,C46="",D46=""),0,IF(OR(AND(C46&gt;=4,D46&gt;=4),AND(C46&lt;=2,D46&lt;=2)),1,0))</f>
        <v>0</v>
      </c>
      <c r="I46" s="20" t="str">
        <f aca="false">IF(B46=0,"",IF(OR(G46=1,H46=1),0,1))</f>
        <v/>
      </c>
    </row>
    <row r="47" customFormat="false" ht="15" hidden="false" customHeight="false" outlineLevel="0" collapsed="false">
      <c r="A47" s="20" t="str">
        <f aca="false">IF(COUNT('2 Import Main'!C47:DB47)=0,"",47)</f>
        <v/>
      </c>
      <c r="B47" s="20" t="n">
        <f aca="false">COUNT('2 Import Main'!C47:DB47)</f>
        <v>0</v>
      </c>
      <c r="C47" s="19" t="str">
        <f aca="false">IFERROR(AVERAGEIF('2 Import Main'!$C$3:$DB$3,"F",'2 Import Main'!C47:DB47),"")</f>
        <v/>
      </c>
      <c r="D47" s="19" t="str">
        <f aca="false">IFERROR(AVERAGEIF('2 Import Main'!$C$3:$DB$3,"R",'2 Import Main'!C47:DB47),"")</f>
        <v/>
      </c>
      <c r="E47" s="20" t="n">
        <f aca="false">IFERROR(MAX('2 Import Main'!C47:DB47),"")</f>
        <v>0</v>
      </c>
      <c r="F47" s="20" t="n">
        <f aca="false">IFERROR(MIN('2 Import Main'!C47:DB47),"")</f>
        <v>0</v>
      </c>
      <c r="G47" s="20" t="str">
        <f aca="false">IF(B47=0,"",IF(E47=F47,1,0))</f>
        <v/>
      </c>
      <c r="H47" s="20" t="n">
        <f aca="false">IF(OR(B47=0,C47="",D47=""),0,IF(OR(AND(C47&gt;=4,D47&gt;=4),AND(C47&lt;=2,D47&lt;=2)),1,0))</f>
        <v>0</v>
      </c>
      <c r="I47" s="20" t="str">
        <f aca="false">IF(B47=0,"",IF(OR(G47=1,H47=1),0,1))</f>
        <v/>
      </c>
    </row>
    <row r="48" customFormat="false" ht="15" hidden="false" customHeight="false" outlineLevel="0" collapsed="false">
      <c r="A48" s="20" t="str">
        <f aca="false">IF(COUNT('2 Import Main'!C48:DB48)=0,"",48)</f>
        <v/>
      </c>
      <c r="B48" s="20" t="n">
        <f aca="false">COUNT('2 Import Main'!C48:DB48)</f>
        <v>0</v>
      </c>
      <c r="C48" s="19" t="str">
        <f aca="false">IFERROR(AVERAGEIF('2 Import Main'!$C$3:$DB$3,"F",'2 Import Main'!C48:DB48),"")</f>
        <v/>
      </c>
      <c r="D48" s="19" t="str">
        <f aca="false">IFERROR(AVERAGEIF('2 Import Main'!$C$3:$DB$3,"R",'2 Import Main'!C48:DB48),"")</f>
        <v/>
      </c>
      <c r="E48" s="20" t="n">
        <f aca="false">IFERROR(MAX('2 Import Main'!C48:DB48),"")</f>
        <v>0</v>
      </c>
      <c r="F48" s="20" t="n">
        <f aca="false">IFERROR(MIN('2 Import Main'!C48:DB48),"")</f>
        <v>0</v>
      </c>
      <c r="G48" s="20" t="str">
        <f aca="false">IF(B48=0,"",IF(E48=F48,1,0))</f>
        <v/>
      </c>
      <c r="H48" s="20" t="n">
        <f aca="false">IF(OR(B48=0,C48="",D48=""),0,IF(OR(AND(C48&gt;=4,D48&gt;=4),AND(C48&lt;=2,D48&lt;=2)),1,0))</f>
        <v>0</v>
      </c>
      <c r="I48" s="20" t="str">
        <f aca="false">IF(B48=0,"",IF(OR(G48=1,H48=1),0,1))</f>
        <v/>
      </c>
    </row>
    <row r="49" customFormat="false" ht="15" hidden="false" customHeight="false" outlineLevel="0" collapsed="false">
      <c r="A49" s="20" t="str">
        <f aca="false">IF(COUNT('2 Import Main'!C49:DB49)=0,"",49)</f>
        <v/>
      </c>
      <c r="B49" s="20" t="n">
        <f aca="false">COUNT('2 Import Main'!C49:DB49)</f>
        <v>0</v>
      </c>
      <c r="C49" s="19" t="str">
        <f aca="false">IFERROR(AVERAGEIF('2 Import Main'!$C$3:$DB$3,"F",'2 Import Main'!C49:DB49),"")</f>
        <v/>
      </c>
      <c r="D49" s="19" t="str">
        <f aca="false">IFERROR(AVERAGEIF('2 Import Main'!$C$3:$DB$3,"R",'2 Import Main'!C49:DB49),"")</f>
        <v/>
      </c>
      <c r="E49" s="20" t="n">
        <f aca="false">IFERROR(MAX('2 Import Main'!C49:DB49),"")</f>
        <v>0</v>
      </c>
      <c r="F49" s="20" t="n">
        <f aca="false">IFERROR(MIN('2 Import Main'!C49:DB49),"")</f>
        <v>0</v>
      </c>
      <c r="G49" s="20" t="str">
        <f aca="false">IF(B49=0,"",IF(E49=F49,1,0))</f>
        <v/>
      </c>
      <c r="H49" s="20" t="n">
        <f aca="false">IF(OR(B49=0,C49="",D49=""),0,IF(OR(AND(C49&gt;=4,D49&gt;=4),AND(C49&lt;=2,D49&lt;=2)),1,0))</f>
        <v>0</v>
      </c>
      <c r="I49" s="20" t="str">
        <f aca="false">IF(B49=0,"",IF(OR(G49=1,H49=1),0,1))</f>
        <v/>
      </c>
    </row>
    <row r="50" customFormat="false" ht="15" hidden="false" customHeight="false" outlineLevel="0" collapsed="false">
      <c r="A50" s="20" t="str">
        <f aca="false">IF(COUNT('2 Import Main'!C50:DB50)=0,"",50)</f>
        <v/>
      </c>
      <c r="B50" s="20" t="n">
        <f aca="false">COUNT('2 Import Main'!C50:DB50)</f>
        <v>0</v>
      </c>
      <c r="C50" s="19" t="str">
        <f aca="false">IFERROR(AVERAGEIF('2 Import Main'!$C$3:$DB$3,"F",'2 Import Main'!C50:DB50),"")</f>
        <v/>
      </c>
      <c r="D50" s="19" t="str">
        <f aca="false">IFERROR(AVERAGEIF('2 Import Main'!$C$3:$DB$3,"R",'2 Import Main'!C50:DB50),"")</f>
        <v/>
      </c>
      <c r="E50" s="20" t="n">
        <f aca="false">IFERROR(MAX('2 Import Main'!C50:DB50),"")</f>
        <v>0</v>
      </c>
      <c r="F50" s="20" t="n">
        <f aca="false">IFERROR(MIN('2 Import Main'!C50:DB50),"")</f>
        <v>0</v>
      </c>
      <c r="G50" s="20" t="str">
        <f aca="false">IF(B50=0,"",IF(E50=F50,1,0))</f>
        <v/>
      </c>
      <c r="H50" s="20" t="n">
        <f aca="false">IF(OR(B50=0,C50="",D50=""),0,IF(OR(AND(C50&gt;=4,D50&gt;=4),AND(C50&lt;=2,D50&lt;=2)),1,0))</f>
        <v>0</v>
      </c>
      <c r="I50" s="20" t="str">
        <f aca="false">IF(B50=0,"",IF(OR(G50=1,H50=1),0,1))</f>
        <v/>
      </c>
    </row>
    <row r="51" customFormat="false" ht="15" hidden="false" customHeight="false" outlineLevel="0" collapsed="false">
      <c r="A51" s="20" t="str">
        <f aca="false">IF(COUNT('2 Import Main'!C51:DB51)=0,"",51)</f>
        <v/>
      </c>
      <c r="B51" s="20" t="n">
        <f aca="false">COUNT('2 Import Main'!C51:DB51)</f>
        <v>0</v>
      </c>
      <c r="C51" s="19" t="str">
        <f aca="false">IFERROR(AVERAGEIF('2 Import Main'!$C$3:$DB$3,"F",'2 Import Main'!C51:DB51),"")</f>
        <v/>
      </c>
      <c r="D51" s="19" t="str">
        <f aca="false">IFERROR(AVERAGEIF('2 Import Main'!$C$3:$DB$3,"R",'2 Import Main'!C51:DB51),"")</f>
        <v/>
      </c>
      <c r="E51" s="20" t="n">
        <f aca="false">IFERROR(MAX('2 Import Main'!C51:DB51),"")</f>
        <v>0</v>
      </c>
      <c r="F51" s="20" t="n">
        <f aca="false">IFERROR(MIN('2 Import Main'!C51:DB51),"")</f>
        <v>0</v>
      </c>
      <c r="G51" s="20" t="str">
        <f aca="false">IF(B51=0,"",IF(E51=F51,1,0))</f>
        <v/>
      </c>
      <c r="H51" s="20" t="n">
        <f aca="false">IF(OR(B51=0,C51="",D51=""),0,IF(OR(AND(C51&gt;=4,D51&gt;=4),AND(C51&lt;=2,D51&lt;=2)),1,0))</f>
        <v>0</v>
      </c>
      <c r="I51" s="20" t="str">
        <f aca="false">IF(B51=0,"",IF(OR(G51=1,H51=1),0,1))</f>
        <v/>
      </c>
    </row>
    <row r="52" customFormat="false" ht="15" hidden="false" customHeight="false" outlineLevel="0" collapsed="false">
      <c r="A52" s="20" t="str">
        <f aca="false">IF(COUNT('2 Import Main'!C52:DB52)=0,"",52)</f>
        <v/>
      </c>
      <c r="B52" s="20" t="n">
        <f aca="false">COUNT('2 Import Main'!C52:DB52)</f>
        <v>0</v>
      </c>
      <c r="C52" s="19" t="str">
        <f aca="false">IFERROR(AVERAGEIF('2 Import Main'!$C$3:$DB$3,"F",'2 Import Main'!C52:DB52),"")</f>
        <v/>
      </c>
      <c r="D52" s="19" t="str">
        <f aca="false">IFERROR(AVERAGEIF('2 Import Main'!$C$3:$DB$3,"R",'2 Import Main'!C52:DB52),"")</f>
        <v/>
      </c>
      <c r="E52" s="20" t="n">
        <f aca="false">IFERROR(MAX('2 Import Main'!C52:DB52),"")</f>
        <v>0</v>
      </c>
      <c r="F52" s="20" t="n">
        <f aca="false">IFERROR(MIN('2 Import Main'!C52:DB52),"")</f>
        <v>0</v>
      </c>
      <c r="G52" s="20" t="str">
        <f aca="false">IF(B52=0,"",IF(E52=F52,1,0))</f>
        <v/>
      </c>
      <c r="H52" s="20" t="n">
        <f aca="false">IF(OR(B52=0,C52="",D52=""),0,IF(OR(AND(C52&gt;=4,D52&gt;=4),AND(C52&lt;=2,D52&lt;=2)),1,0))</f>
        <v>0</v>
      </c>
      <c r="I52" s="20" t="str">
        <f aca="false">IF(B52=0,"",IF(OR(G52=1,H52=1),0,1))</f>
        <v/>
      </c>
    </row>
    <row r="53" customFormat="false" ht="15" hidden="false" customHeight="false" outlineLevel="0" collapsed="false">
      <c r="A53" s="20" t="str">
        <f aca="false">IF(COUNT('2 Import Main'!C53:DB53)=0,"",53)</f>
        <v/>
      </c>
      <c r="B53" s="20" t="n">
        <f aca="false">COUNT('2 Import Main'!C53:DB53)</f>
        <v>0</v>
      </c>
      <c r="C53" s="19" t="str">
        <f aca="false">IFERROR(AVERAGEIF('2 Import Main'!$C$3:$DB$3,"F",'2 Import Main'!C53:DB53),"")</f>
        <v/>
      </c>
      <c r="D53" s="19" t="str">
        <f aca="false">IFERROR(AVERAGEIF('2 Import Main'!$C$3:$DB$3,"R",'2 Import Main'!C53:DB53),"")</f>
        <v/>
      </c>
      <c r="E53" s="20" t="n">
        <f aca="false">IFERROR(MAX('2 Import Main'!C53:DB53),"")</f>
        <v>0</v>
      </c>
      <c r="F53" s="20" t="n">
        <f aca="false">IFERROR(MIN('2 Import Main'!C53:DB53),"")</f>
        <v>0</v>
      </c>
      <c r="G53" s="20" t="str">
        <f aca="false">IF(B53=0,"",IF(E53=F53,1,0))</f>
        <v/>
      </c>
      <c r="H53" s="20" t="n">
        <f aca="false">IF(OR(B53=0,C53="",D53=""),0,IF(OR(AND(C53&gt;=4,D53&gt;=4),AND(C53&lt;=2,D53&lt;=2)),1,0))</f>
        <v>0</v>
      </c>
      <c r="I53" s="20" t="str">
        <f aca="false">IF(B53=0,"",IF(OR(G53=1,H53=1),0,1))</f>
        <v/>
      </c>
    </row>
    <row r="54" customFormat="false" ht="15" hidden="false" customHeight="false" outlineLevel="0" collapsed="false">
      <c r="A54" s="20" t="str">
        <f aca="false">IF(COUNT('2 Import Main'!C54:DB54)=0,"",54)</f>
        <v/>
      </c>
      <c r="B54" s="20" t="n">
        <f aca="false">COUNT('2 Import Main'!C54:DB54)</f>
        <v>0</v>
      </c>
      <c r="C54" s="19" t="str">
        <f aca="false">IFERROR(AVERAGEIF('2 Import Main'!$C$3:$DB$3,"F",'2 Import Main'!C54:DB54),"")</f>
        <v/>
      </c>
      <c r="D54" s="19" t="str">
        <f aca="false">IFERROR(AVERAGEIF('2 Import Main'!$C$3:$DB$3,"R",'2 Import Main'!C54:DB54),"")</f>
        <v/>
      </c>
      <c r="E54" s="20" t="n">
        <f aca="false">IFERROR(MAX('2 Import Main'!C54:DB54),"")</f>
        <v>0</v>
      </c>
      <c r="F54" s="20" t="n">
        <f aca="false">IFERROR(MIN('2 Import Main'!C54:DB54),"")</f>
        <v>0</v>
      </c>
      <c r="G54" s="20" t="str">
        <f aca="false">IF(B54=0,"",IF(E54=F54,1,0))</f>
        <v/>
      </c>
      <c r="H54" s="20" t="n">
        <f aca="false">IF(OR(B54=0,C54="",D54=""),0,IF(OR(AND(C54&gt;=4,D54&gt;=4),AND(C54&lt;=2,D54&lt;=2)),1,0))</f>
        <v>0</v>
      </c>
      <c r="I54" s="20" t="str">
        <f aca="false">IF(B54=0,"",IF(OR(G54=1,H54=1),0,1))</f>
        <v/>
      </c>
    </row>
    <row r="55" customFormat="false" ht="15" hidden="false" customHeight="false" outlineLevel="0" collapsed="false">
      <c r="A55" s="20" t="str">
        <f aca="false">IF(COUNT('2 Import Main'!C55:DB55)=0,"",55)</f>
        <v/>
      </c>
      <c r="B55" s="20" t="n">
        <f aca="false">COUNT('2 Import Main'!C55:DB55)</f>
        <v>0</v>
      </c>
      <c r="C55" s="19" t="str">
        <f aca="false">IFERROR(AVERAGEIF('2 Import Main'!$C$3:$DB$3,"F",'2 Import Main'!C55:DB55),"")</f>
        <v/>
      </c>
      <c r="D55" s="19" t="str">
        <f aca="false">IFERROR(AVERAGEIF('2 Import Main'!$C$3:$DB$3,"R",'2 Import Main'!C55:DB55),"")</f>
        <v/>
      </c>
      <c r="E55" s="20" t="n">
        <f aca="false">IFERROR(MAX('2 Import Main'!C55:DB55),"")</f>
        <v>0</v>
      </c>
      <c r="F55" s="20" t="n">
        <f aca="false">IFERROR(MIN('2 Import Main'!C55:DB55),"")</f>
        <v>0</v>
      </c>
      <c r="G55" s="20" t="str">
        <f aca="false">IF(B55=0,"",IF(E55=F55,1,0))</f>
        <v/>
      </c>
      <c r="H55" s="20" t="n">
        <f aca="false">IF(OR(B55=0,C55="",D55=""),0,IF(OR(AND(C55&gt;=4,D55&gt;=4),AND(C55&lt;=2,D55&lt;=2)),1,0))</f>
        <v>0</v>
      </c>
      <c r="I55" s="20" t="str">
        <f aca="false">IF(B55=0,"",IF(OR(G55=1,H55=1),0,1))</f>
        <v/>
      </c>
    </row>
    <row r="56" customFormat="false" ht="15" hidden="false" customHeight="false" outlineLevel="0" collapsed="false">
      <c r="A56" s="20" t="str">
        <f aca="false">IF(COUNT('2 Import Main'!C56:DB56)=0,"",56)</f>
        <v/>
      </c>
      <c r="B56" s="20" t="n">
        <f aca="false">COUNT('2 Import Main'!C56:DB56)</f>
        <v>0</v>
      </c>
      <c r="C56" s="19" t="str">
        <f aca="false">IFERROR(AVERAGEIF('2 Import Main'!$C$3:$DB$3,"F",'2 Import Main'!C56:DB56),"")</f>
        <v/>
      </c>
      <c r="D56" s="19" t="str">
        <f aca="false">IFERROR(AVERAGEIF('2 Import Main'!$C$3:$DB$3,"R",'2 Import Main'!C56:DB56),"")</f>
        <v/>
      </c>
      <c r="E56" s="20" t="n">
        <f aca="false">IFERROR(MAX('2 Import Main'!C56:DB56),"")</f>
        <v>0</v>
      </c>
      <c r="F56" s="20" t="n">
        <f aca="false">IFERROR(MIN('2 Import Main'!C56:DB56),"")</f>
        <v>0</v>
      </c>
      <c r="G56" s="20" t="str">
        <f aca="false">IF(B56=0,"",IF(E56=F56,1,0))</f>
        <v/>
      </c>
      <c r="H56" s="20" t="n">
        <f aca="false">IF(OR(B56=0,C56="",D56=""),0,IF(OR(AND(C56&gt;=4,D56&gt;=4),AND(C56&lt;=2,D56&lt;=2)),1,0))</f>
        <v>0</v>
      </c>
      <c r="I56" s="20" t="str">
        <f aca="false">IF(B56=0,"",IF(OR(G56=1,H56=1),0,1))</f>
        <v/>
      </c>
    </row>
    <row r="57" customFormat="false" ht="15" hidden="false" customHeight="false" outlineLevel="0" collapsed="false">
      <c r="A57" s="20" t="str">
        <f aca="false">IF(COUNT('2 Import Main'!C57:DB57)=0,"",57)</f>
        <v/>
      </c>
      <c r="B57" s="20" t="n">
        <f aca="false">COUNT('2 Import Main'!C57:DB57)</f>
        <v>0</v>
      </c>
      <c r="C57" s="19" t="str">
        <f aca="false">IFERROR(AVERAGEIF('2 Import Main'!$C$3:$DB$3,"F",'2 Import Main'!C57:DB57),"")</f>
        <v/>
      </c>
      <c r="D57" s="19" t="str">
        <f aca="false">IFERROR(AVERAGEIF('2 Import Main'!$C$3:$DB$3,"R",'2 Import Main'!C57:DB57),"")</f>
        <v/>
      </c>
      <c r="E57" s="20" t="n">
        <f aca="false">IFERROR(MAX('2 Import Main'!C57:DB57),"")</f>
        <v>0</v>
      </c>
      <c r="F57" s="20" t="n">
        <f aca="false">IFERROR(MIN('2 Import Main'!C57:DB57),"")</f>
        <v>0</v>
      </c>
      <c r="G57" s="20" t="str">
        <f aca="false">IF(B57=0,"",IF(E57=F57,1,0))</f>
        <v/>
      </c>
      <c r="H57" s="20" t="n">
        <f aca="false">IF(OR(B57=0,C57="",D57=""),0,IF(OR(AND(C57&gt;=4,D57&gt;=4),AND(C57&lt;=2,D57&lt;=2)),1,0))</f>
        <v>0</v>
      </c>
      <c r="I57" s="20" t="str">
        <f aca="false">IF(B57=0,"",IF(OR(G57=1,H57=1),0,1))</f>
        <v/>
      </c>
    </row>
    <row r="58" customFormat="false" ht="15" hidden="false" customHeight="false" outlineLevel="0" collapsed="false">
      <c r="A58" s="20" t="str">
        <f aca="false">IF(COUNT('2 Import Main'!C58:DB58)=0,"",58)</f>
        <v/>
      </c>
      <c r="B58" s="20" t="n">
        <f aca="false">COUNT('2 Import Main'!C58:DB58)</f>
        <v>0</v>
      </c>
      <c r="C58" s="19" t="str">
        <f aca="false">IFERROR(AVERAGEIF('2 Import Main'!$C$3:$DB$3,"F",'2 Import Main'!C58:DB58),"")</f>
        <v/>
      </c>
      <c r="D58" s="19" t="str">
        <f aca="false">IFERROR(AVERAGEIF('2 Import Main'!$C$3:$DB$3,"R",'2 Import Main'!C58:DB58),"")</f>
        <v/>
      </c>
      <c r="E58" s="20" t="n">
        <f aca="false">IFERROR(MAX('2 Import Main'!C58:DB58),"")</f>
        <v>0</v>
      </c>
      <c r="F58" s="20" t="n">
        <f aca="false">IFERROR(MIN('2 Import Main'!C58:DB58),"")</f>
        <v>0</v>
      </c>
      <c r="G58" s="20" t="str">
        <f aca="false">IF(B58=0,"",IF(E58=F58,1,0))</f>
        <v/>
      </c>
      <c r="H58" s="20" t="n">
        <f aca="false">IF(OR(B58=0,C58="",D58=""),0,IF(OR(AND(C58&gt;=4,D58&gt;=4),AND(C58&lt;=2,D58&lt;=2)),1,0))</f>
        <v>0</v>
      </c>
      <c r="I58" s="20" t="str">
        <f aca="false">IF(B58=0,"",IF(OR(G58=1,H58=1),0,1))</f>
        <v/>
      </c>
    </row>
    <row r="59" customFormat="false" ht="15" hidden="false" customHeight="false" outlineLevel="0" collapsed="false">
      <c r="A59" s="20" t="str">
        <f aca="false">IF(COUNT('2 Import Main'!C59:DB59)=0,"",59)</f>
        <v/>
      </c>
      <c r="B59" s="20" t="n">
        <f aca="false">COUNT('2 Import Main'!C59:DB59)</f>
        <v>0</v>
      </c>
      <c r="C59" s="19" t="str">
        <f aca="false">IFERROR(AVERAGEIF('2 Import Main'!$C$3:$DB$3,"F",'2 Import Main'!C59:DB59),"")</f>
        <v/>
      </c>
      <c r="D59" s="19" t="str">
        <f aca="false">IFERROR(AVERAGEIF('2 Import Main'!$C$3:$DB$3,"R",'2 Import Main'!C59:DB59),"")</f>
        <v/>
      </c>
      <c r="E59" s="20" t="n">
        <f aca="false">IFERROR(MAX('2 Import Main'!C59:DB59),"")</f>
        <v>0</v>
      </c>
      <c r="F59" s="20" t="n">
        <f aca="false">IFERROR(MIN('2 Import Main'!C59:DB59),"")</f>
        <v>0</v>
      </c>
      <c r="G59" s="20" t="str">
        <f aca="false">IF(B59=0,"",IF(E59=F59,1,0))</f>
        <v/>
      </c>
      <c r="H59" s="20" t="n">
        <f aca="false">IF(OR(B59=0,C59="",D59=""),0,IF(OR(AND(C59&gt;=4,D59&gt;=4),AND(C59&lt;=2,D59&lt;=2)),1,0))</f>
        <v>0</v>
      </c>
      <c r="I59" s="20" t="str">
        <f aca="false">IF(B59=0,"",IF(OR(G59=1,H59=1),0,1))</f>
        <v/>
      </c>
    </row>
    <row r="60" customFormat="false" ht="15" hidden="false" customHeight="false" outlineLevel="0" collapsed="false">
      <c r="A60" s="20" t="str">
        <f aca="false">IF(COUNT('2 Import Main'!C60:DB60)=0,"",60)</f>
        <v/>
      </c>
      <c r="B60" s="20" t="n">
        <f aca="false">COUNT('2 Import Main'!C60:DB60)</f>
        <v>0</v>
      </c>
      <c r="C60" s="19" t="str">
        <f aca="false">IFERROR(AVERAGEIF('2 Import Main'!$C$3:$DB$3,"F",'2 Import Main'!C60:DB60),"")</f>
        <v/>
      </c>
      <c r="D60" s="19" t="str">
        <f aca="false">IFERROR(AVERAGEIF('2 Import Main'!$C$3:$DB$3,"R",'2 Import Main'!C60:DB60),"")</f>
        <v/>
      </c>
      <c r="E60" s="20" t="n">
        <f aca="false">IFERROR(MAX('2 Import Main'!C60:DB60),"")</f>
        <v>0</v>
      </c>
      <c r="F60" s="20" t="n">
        <f aca="false">IFERROR(MIN('2 Import Main'!C60:DB60),"")</f>
        <v>0</v>
      </c>
      <c r="G60" s="20" t="str">
        <f aca="false">IF(B60=0,"",IF(E60=F60,1,0))</f>
        <v/>
      </c>
      <c r="H60" s="20" t="n">
        <f aca="false">IF(OR(B60=0,C60="",D60=""),0,IF(OR(AND(C60&gt;=4,D60&gt;=4),AND(C60&lt;=2,D60&lt;=2)),1,0))</f>
        <v>0</v>
      </c>
      <c r="I60" s="20" t="str">
        <f aca="false">IF(B60=0,"",IF(OR(G60=1,H60=1),0,1))</f>
        <v/>
      </c>
    </row>
    <row r="61" customFormat="false" ht="15" hidden="false" customHeight="false" outlineLevel="0" collapsed="false">
      <c r="A61" s="20" t="str">
        <f aca="false">IF(COUNT('2 Import Main'!C61:DB61)=0,"",61)</f>
        <v/>
      </c>
      <c r="B61" s="20" t="n">
        <f aca="false">COUNT('2 Import Main'!C61:DB61)</f>
        <v>0</v>
      </c>
      <c r="C61" s="19" t="str">
        <f aca="false">IFERROR(AVERAGEIF('2 Import Main'!$C$3:$DB$3,"F",'2 Import Main'!C61:DB61),"")</f>
        <v/>
      </c>
      <c r="D61" s="19" t="str">
        <f aca="false">IFERROR(AVERAGEIF('2 Import Main'!$C$3:$DB$3,"R",'2 Import Main'!C61:DB61),"")</f>
        <v/>
      </c>
      <c r="E61" s="20" t="n">
        <f aca="false">IFERROR(MAX('2 Import Main'!C61:DB61),"")</f>
        <v>0</v>
      </c>
      <c r="F61" s="20" t="n">
        <f aca="false">IFERROR(MIN('2 Import Main'!C61:DB61),"")</f>
        <v>0</v>
      </c>
      <c r="G61" s="20" t="str">
        <f aca="false">IF(B61=0,"",IF(E61=F61,1,0))</f>
        <v/>
      </c>
      <c r="H61" s="20" t="n">
        <f aca="false">IF(OR(B61=0,C61="",D61=""),0,IF(OR(AND(C61&gt;=4,D61&gt;=4),AND(C61&lt;=2,D61&lt;=2)),1,0))</f>
        <v>0</v>
      </c>
      <c r="I61" s="20" t="str">
        <f aca="false">IF(B61=0,"",IF(OR(G61=1,H61=1),0,1))</f>
        <v/>
      </c>
    </row>
    <row r="62" customFormat="false" ht="15" hidden="false" customHeight="false" outlineLevel="0" collapsed="false">
      <c r="A62" s="20" t="str">
        <f aca="false">IF(COUNT('2 Import Main'!C62:DB62)=0,"",62)</f>
        <v/>
      </c>
      <c r="B62" s="20" t="n">
        <f aca="false">COUNT('2 Import Main'!C62:DB62)</f>
        <v>0</v>
      </c>
      <c r="C62" s="19" t="str">
        <f aca="false">IFERROR(AVERAGEIF('2 Import Main'!$C$3:$DB$3,"F",'2 Import Main'!C62:DB62),"")</f>
        <v/>
      </c>
      <c r="D62" s="19" t="str">
        <f aca="false">IFERROR(AVERAGEIF('2 Import Main'!$C$3:$DB$3,"R",'2 Import Main'!C62:DB62),"")</f>
        <v/>
      </c>
      <c r="E62" s="20" t="n">
        <f aca="false">IFERROR(MAX('2 Import Main'!C62:DB62),"")</f>
        <v>0</v>
      </c>
      <c r="F62" s="20" t="n">
        <f aca="false">IFERROR(MIN('2 Import Main'!C62:DB62),"")</f>
        <v>0</v>
      </c>
      <c r="G62" s="20" t="str">
        <f aca="false">IF(B62=0,"",IF(E62=F62,1,0))</f>
        <v/>
      </c>
      <c r="H62" s="20" t="n">
        <f aca="false">IF(OR(B62=0,C62="",D62=""),0,IF(OR(AND(C62&gt;=4,D62&gt;=4),AND(C62&lt;=2,D62&lt;=2)),1,0))</f>
        <v>0</v>
      </c>
      <c r="I62" s="20" t="str">
        <f aca="false">IF(B62=0,"",IF(OR(G62=1,H62=1),0,1))</f>
        <v/>
      </c>
    </row>
    <row r="63" customFormat="false" ht="15" hidden="false" customHeight="false" outlineLevel="0" collapsed="false">
      <c r="A63" s="20" t="str">
        <f aca="false">IF(COUNT('2 Import Main'!C63:DB63)=0,"",63)</f>
        <v/>
      </c>
      <c r="B63" s="20" t="n">
        <f aca="false">COUNT('2 Import Main'!C63:DB63)</f>
        <v>0</v>
      </c>
      <c r="C63" s="19" t="str">
        <f aca="false">IFERROR(AVERAGEIF('2 Import Main'!$C$3:$DB$3,"F",'2 Import Main'!C63:DB63),"")</f>
        <v/>
      </c>
      <c r="D63" s="19" t="str">
        <f aca="false">IFERROR(AVERAGEIF('2 Import Main'!$C$3:$DB$3,"R",'2 Import Main'!C63:DB63),"")</f>
        <v/>
      </c>
      <c r="E63" s="20" t="n">
        <f aca="false">IFERROR(MAX('2 Import Main'!C63:DB63),"")</f>
        <v>0</v>
      </c>
      <c r="F63" s="20" t="n">
        <f aca="false">IFERROR(MIN('2 Import Main'!C63:DB63),"")</f>
        <v>0</v>
      </c>
      <c r="G63" s="20" t="str">
        <f aca="false">IF(B63=0,"",IF(E63=F63,1,0))</f>
        <v/>
      </c>
      <c r="H63" s="20" t="n">
        <f aca="false">IF(OR(B63=0,C63="",D63=""),0,IF(OR(AND(C63&gt;=4,D63&gt;=4),AND(C63&lt;=2,D63&lt;=2)),1,0))</f>
        <v>0</v>
      </c>
      <c r="I63" s="20" t="str">
        <f aca="false">IF(B63=0,"",IF(OR(G63=1,H63=1),0,1))</f>
        <v/>
      </c>
    </row>
    <row r="64" customFormat="false" ht="15" hidden="false" customHeight="false" outlineLevel="0" collapsed="false">
      <c r="A64" s="20" t="str">
        <f aca="false">IF(COUNT('2 Import Main'!C64:DB64)=0,"",64)</f>
        <v/>
      </c>
      <c r="B64" s="20" t="n">
        <f aca="false">COUNT('2 Import Main'!C64:DB64)</f>
        <v>0</v>
      </c>
      <c r="C64" s="19" t="str">
        <f aca="false">IFERROR(AVERAGEIF('2 Import Main'!$C$3:$DB$3,"F",'2 Import Main'!C64:DB64),"")</f>
        <v/>
      </c>
      <c r="D64" s="19" t="str">
        <f aca="false">IFERROR(AVERAGEIF('2 Import Main'!$C$3:$DB$3,"R",'2 Import Main'!C64:DB64),"")</f>
        <v/>
      </c>
      <c r="E64" s="20" t="n">
        <f aca="false">IFERROR(MAX('2 Import Main'!C64:DB64),"")</f>
        <v>0</v>
      </c>
      <c r="F64" s="20" t="n">
        <f aca="false">IFERROR(MIN('2 Import Main'!C64:DB64),"")</f>
        <v>0</v>
      </c>
      <c r="G64" s="20" t="str">
        <f aca="false">IF(B64=0,"",IF(E64=F64,1,0))</f>
        <v/>
      </c>
      <c r="H64" s="20" t="n">
        <f aca="false">IF(OR(B64=0,C64="",D64=""),0,IF(OR(AND(C64&gt;=4,D64&gt;=4),AND(C64&lt;=2,D64&lt;=2)),1,0))</f>
        <v>0</v>
      </c>
      <c r="I64" s="20" t="str">
        <f aca="false">IF(B64=0,"",IF(OR(G64=1,H64=1),0,1))</f>
        <v/>
      </c>
    </row>
    <row r="65" customFormat="false" ht="15" hidden="false" customHeight="false" outlineLevel="0" collapsed="false">
      <c r="A65" s="20" t="str">
        <f aca="false">IF(COUNT('2 Import Main'!C65:DB65)=0,"",65)</f>
        <v/>
      </c>
      <c r="B65" s="20" t="n">
        <f aca="false">COUNT('2 Import Main'!C65:DB65)</f>
        <v>0</v>
      </c>
      <c r="C65" s="19" t="str">
        <f aca="false">IFERROR(AVERAGEIF('2 Import Main'!$C$3:$DB$3,"F",'2 Import Main'!C65:DB65),"")</f>
        <v/>
      </c>
      <c r="D65" s="19" t="str">
        <f aca="false">IFERROR(AVERAGEIF('2 Import Main'!$C$3:$DB$3,"R",'2 Import Main'!C65:DB65),"")</f>
        <v/>
      </c>
      <c r="E65" s="20" t="n">
        <f aca="false">IFERROR(MAX('2 Import Main'!C65:DB65),"")</f>
        <v>0</v>
      </c>
      <c r="F65" s="20" t="n">
        <f aca="false">IFERROR(MIN('2 Import Main'!C65:DB65),"")</f>
        <v>0</v>
      </c>
      <c r="G65" s="20" t="str">
        <f aca="false">IF(B65=0,"",IF(E65=F65,1,0))</f>
        <v/>
      </c>
      <c r="H65" s="20" t="n">
        <f aca="false">IF(OR(B65=0,C65="",D65=""),0,IF(OR(AND(C65&gt;=4,D65&gt;=4),AND(C65&lt;=2,D65&lt;=2)),1,0))</f>
        <v>0</v>
      </c>
      <c r="I65" s="20" t="str">
        <f aca="false">IF(B65=0,"",IF(OR(G65=1,H65=1),0,1))</f>
        <v/>
      </c>
    </row>
    <row r="66" customFormat="false" ht="15" hidden="false" customHeight="false" outlineLevel="0" collapsed="false">
      <c r="A66" s="20" t="str">
        <f aca="false">IF(COUNT('2 Import Main'!C66:DB66)=0,"",66)</f>
        <v/>
      </c>
      <c r="B66" s="20" t="n">
        <f aca="false">COUNT('2 Import Main'!C66:DB66)</f>
        <v>0</v>
      </c>
      <c r="C66" s="19" t="str">
        <f aca="false">IFERROR(AVERAGEIF('2 Import Main'!$C$3:$DB$3,"F",'2 Import Main'!C66:DB66),"")</f>
        <v/>
      </c>
      <c r="D66" s="19" t="str">
        <f aca="false">IFERROR(AVERAGEIF('2 Import Main'!$C$3:$DB$3,"R",'2 Import Main'!C66:DB66),"")</f>
        <v/>
      </c>
      <c r="E66" s="20" t="n">
        <f aca="false">IFERROR(MAX('2 Import Main'!C66:DB66),"")</f>
        <v>0</v>
      </c>
      <c r="F66" s="20" t="n">
        <f aca="false">IFERROR(MIN('2 Import Main'!C66:DB66),"")</f>
        <v>0</v>
      </c>
      <c r="G66" s="20" t="str">
        <f aca="false">IF(B66=0,"",IF(E66=F66,1,0))</f>
        <v/>
      </c>
      <c r="H66" s="20" t="n">
        <f aca="false">IF(OR(B66=0,C66="",D66=""),0,IF(OR(AND(C66&gt;=4,D66&gt;=4),AND(C66&lt;=2,D66&lt;=2)),1,0))</f>
        <v>0</v>
      </c>
      <c r="I66" s="20" t="str">
        <f aca="false">IF(B66=0,"",IF(OR(G66=1,H66=1),0,1))</f>
        <v/>
      </c>
    </row>
    <row r="67" customFormat="false" ht="15" hidden="false" customHeight="false" outlineLevel="0" collapsed="false">
      <c r="A67" s="20" t="str">
        <f aca="false">IF(COUNT('2 Import Main'!C67:DB67)=0,"",67)</f>
        <v/>
      </c>
      <c r="B67" s="20" t="n">
        <f aca="false">COUNT('2 Import Main'!C67:DB67)</f>
        <v>0</v>
      </c>
      <c r="C67" s="19" t="str">
        <f aca="false">IFERROR(AVERAGEIF('2 Import Main'!$C$3:$DB$3,"F",'2 Import Main'!C67:DB67),"")</f>
        <v/>
      </c>
      <c r="D67" s="19" t="str">
        <f aca="false">IFERROR(AVERAGEIF('2 Import Main'!$C$3:$DB$3,"R",'2 Import Main'!C67:DB67),"")</f>
        <v/>
      </c>
      <c r="E67" s="20" t="n">
        <f aca="false">IFERROR(MAX('2 Import Main'!C67:DB67),"")</f>
        <v>0</v>
      </c>
      <c r="F67" s="20" t="n">
        <f aca="false">IFERROR(MIN('2 Import Main'!C67:DB67),"")</f>
        <v>0</v>
      </c>
      <c r="G67" s="20" t="str">
        <f aca="false">IF(B67=0,"",IF(E67=F67,1,0))</f>
        <v/>
      </c>
      <c r="H67" s="20" t="n">
        <f aca="false">IF(OR(B67=0,C67="",D67=""),0,IF(OR(AND(C67&gt;=4,D67&gt;=4),AND(C67&lt;=2,D67&lt;=2)),1,0))</f>
        <v>0</v>
      </c>
      <c r="I67" s="20" t="str">
        <f aca="false">IF(B67=0,"",IF(OR(G67=1,H67=1),0,1))</f>
        <v/>
      </c>
    </row>
    <row r="68" customFormat="false" ht="15" hidden="false" customHeight="false" outlineLevel="0" collapsed="false">
      <c r="A68" s="20" t="str">
        <f aca="false">IF(COUNT('2 Import Main'!C68:DB68)=0,"",68)</f>
        <v/>
      </c>
      <c r="B68" s="20" t="n">
        <f aca="false">COUNT('2 Import Main'!C68:DB68)</f>
        <v>0</v>
      </c>
      <c r="C68" s="19" t="str">
        <f aca="false">IFERROR(AVERAGEIF('2 Import Main'!$C$3:$DB$3,"F",'2 Import Main'!C68:DB68),"")</f>
        <v/>
      </c>
      <c r="D68" s="19" t="str">
        <f aca="false">IFERROR(AVERAGEIF('2 Import Main'!$C$3:$DB$3,"R",'2 Import Main'!C68:DB68),"")</f>
        <v/>
      </c>
      <c r="E68" s="20" t="n">
        <f aca="false">IFERROR(MAX('2 Import Main'!C68:DB68),"")</f>
        <v>0</v>
      </c>
      <c r="F68" s="20" t="n">
        <f aca="false">IFERROR(MIN('2 Import Main'!C68:DB68),"")</f>
        <v>0</v>
      </c>
      <c r="G68" s="20" t="str">
        <f aca="false">IF(B68=0,"",IF(E68=F68,1,0))</f>
        <v/>
      </c>
      <c r="H68" s="20" t="n">
        <f aca="false">IF(OR(B68=0,C68="",D68=""),0,IF(OR(AND(C68&gt;=4,D68&gt;=4),AND(C68&lt;=2,D68&lt;=2)),1,0))</f>
        <v>0</v>
      </c>
      <c r="I68" s="20" t="str">
        <f aca="false">IF(B68=0,"",IF(OR(G68=1,H68=1),0,1))</f>
        <v/>
      </c>
    </row>
    <row r="69" customFormat="false" ht="15" hidden="false" customHeight="false" outlineLevel="0" collapsed="false">
      <c r="A69" s="20" t="str">
        <f aca="false">IF(COUNT('2 Import Main'!C69:DB69)=0,"",69)</f>
        <v/>
      </c>
      <c r="B69" s="20" t="n">
        <f aca="false">COUNT('2 Import Main'!C69:DB69)</f>
        <v>0</v>
      </c>
      <c r="C69" s="19" t="str">
        <f aca="false">IFERROR(AVERAGEIF('2 Import Main'!$C$3:$DB$3,"F",'2 Import Main'!C69:DB69),"")</f>
        <v/>
      </c>
      <c r="D69" s="19" t="str">
        <f aca="false">IFERROR(AVERAGEIF('2 Import Main'!$C$3:$DB$3,"R",'2 Import Main'!C69:DB69),"")</f>
        <v/>
      </c>
      <c r="E69" s="20" t="n">
        <f aca="false">IFERROR(MAX('2 Import Main'!C69:DB69),"")</f>
        <v>0</v>
      </c>
      <c r="F69" s="20" t="n">
        <f aca="false">IFERROR(MIN('2 Import Main'!C69:DB69),"")</f>
        <v>0</v>
      </c>
      <c r="G69" s="20" t="str">
        <f aca="false">IF(B69=0,"",IF(E69=F69,1,0))</f>
        <v/>
      </c>
      <c r="H69" s="20" t="n">
        <f aca="false">IF(OR(B69=0,C69="",D69=""),0,IF(OR(AND(C69&gt;=4,D69&gt;=4),AND(C69&lt;=2,D69&lt;=2)),1,0))</f>
        <v>0</v>
      </c>
      <c r="I69" s="20" t="str">
        <f aca="false">IF(B69=0,"",IF(OR(G69=1,H69=1),0,1))</f>
        <v/>
      </c>
    </row>
    <row r="70" customFormat="false" ht="15" hidden="false" customHeight="false" outlineLevel="0" collapsed="false">
      <c r="A70" s="20" t="str">
        <f aca="false">IF(COUNT('2 Import Main'!C70:DB70)=0,"",70)</f>
        <v/>
      </c>
      <c r="B70" s="20" t="n">
        <f aca="false">COUNT('2 Import Main'!C70:DB70)</f>
        <v>0</v>
      </c>
      <c r="C70" s="19" t="str">
        <f aca="false">IFERROR(AVERAGEIF('2 Import Main'!$C$3:$DB$3,"F",'2 Import Main'!C70:DB70),"")</f>
        <v/>
      </c>
      <c r="D70" s="19" t="str">
        <f aca="false">IFERROR(AVERAGEIF('2 Import Main'!$C$3:$DB$3,"R",'2 Import Main'!C70:DB70),"")</f>
        <v/>
      </c>
      <c r="E70" s="20" t="n">
        <f aca="false">IFERROR(MAX('2 Import Main'!C70:DB70),"")</f>
        <v>0</v>
      </c>
      <c r="F70" s="20" t="n">
        <f aca="false">IFERROR(MIN('2 Import Main'!C70:DB70),"")</f>
        <v>0</v>
      </c>
      <c r="G70" s="20" t="str">
        <f aca="false">IF(B70=0,"",IF(E70=F70,1,0))</f>
        <v/>
      </c>
      <c r="H70" s="20" t="n">
        <f aca="false">IF(OR(B70=0,C70="",D70=""),0,IF(OR(AND(C70&gt;=4,D70&gt;=4),AND(C70&lt;=2,D70&lt;=2)),1,0))</f>
        <v>0</v>
      </c>
      <c r="I70" s="20" t="str">
        <f aca="false">IF(B70=0,"",IF(OR(G70=1,H70=1),0,1))</f>
        <v/>
      </c>
    </row>
    <row r="71" customFormat="false" ht="15" hidden="false" customHeight="false" outlineLevel="0" collapsed="false">
      <c r="A71" s="20" t="str">
        <f aca="false">IF(COUNT('2 Import Main'!C71:DB71)=0,"",71)</f>
        <v/>
      </c>
      <c r="B71" s="20" t="n">
        <f aca="false">COUNT('2 Import Main'!C71:DB71)</f>
        <v>0</v>
      </c>
      <c r="C71" s="19" t="str">
        <f aca="false">IFERROR(AVERAGEIF('2 Import Main'!$C$3:$DB$3,"F",'2 Import Main'!C71:DB71),"")</f>
        <v/>
      </c>
      <c r="D71" s="19" t="str">
        <f aca="false">IFERROR(AVERAGEIF('2 Import Main'!$C$3:$DB$3,"R",'2 Import Main'!C71:DB71),"")</f>
        <v/>
      </c>
      <c r="E71" s="20" t="n">
        <f aca="false">IFERROR(MAX('2 Import Main'!C71:DB71),"")</f>
        <v>0</v>
      </c>
      <c r="F71" s="20" t="n">
        <f aca="false">IFERROR(MIN('2 Import Main'!C71:DB71),"")</f>
        <v>0</v>
      </c>
      <c r="G71" s="20" t="str">
        <f aca="false">IF(B71=0,"",IF(E71=F71,1,0))</f>
        <v/>
      </c>
      <c r="H71" s="20" t="n">
        <f aca="false">IF(OR(B71=0,C71="",D71=""),0,IF(OR(AND(C71&gt;=4,D71&gt;=4),AND(C71&lt;=2,D71&lt;=2)),1,0))</f>
        <v>0</v>
      </c>
      <c r="I71" s="20" t="str">
        <f aca="false">IF(B71=0,"",IF(OR(G71=1,H71=1),0,1))</f>
        <v/>
      </c>
    </row>
    <row r="72" customFormat="false" ht="15" hidden="false" customHeight="false" outlineLevel="0" collapsed="false">
      <c r="A72" s="20" t="str">
        <f aca="false">IF(COUNT('2 Import Main'!C72:DB72)=0,"",72)</f>
        <v/>
      </c>
      <c r="B72" s="20" t="n">
        <f aca="false">COUNT('2 Import Main'!C72:DB72)</f>
        <v>0</v>
      </c>
      <c r="C72" s="19" t="str">
        <f aca="false">IFERROR(AVERAGEIF('2 Import Main'!$C$3:$DB$3,"F",'2 Import Main'!C72:DB72),"")</f>
        <v/>
      </c>
      <c r="D72" s="19" t="str">
        <f aca="false">IFERROR(AVERAGEIF('2 Import Main'!$C$3:$DB$3,"R",'2 Import Main'!C72:DB72),"")</f>
        <v/>
      </c>
      <c r="E72" s="20" t="n">
        <f aca="false">IFERROR(MAX('2 Import Main'!C72:DB72),"")</f>
        <v>0</v>
      </c>
      <c r="F72" s="20" t="n">
        <f aca="false">IFERROR(MIN('2 Import Main'!C72:DB72),"")</f>
        <v>0</v>
      </c>
      <c r="G72" s="20" t="str">
        <f aca="false">IF(B72=0,"",IF(E72=F72,1,0))</f>
        <v/>
      </c>
      <c r="H72" s="20" t="n">
        <f aca="false">IF(OR(B72=0,C72="",D72=""),0,IF(OR(AND(C72&gt;=4,D72&gt;=4),AND(C72&lt;=2,D72&lt;=2)),1,0))</f>
        <v>0</v>
      </c>
      <c r="I72" s="20" t="str">
        <f aca="false">IF(B72=0,"",IF(OR(G72=1,H72=1),0,1))</f>
        <v/>
      </c>
    </row>
    <row r="73" customFormat="false" ht="15" hidden="false" customHeight="false" outlineLevel="0" collapsed="false">
      <c r="A73" s="20" t="str">
        <f aca="false">IF(COUNT('2 Import Main'!C73:DB73)=0,"",73)</f>
        <v/>
      </c>
      <c r="B73" s="20" t="n">
        <f aca="false">COUNT('2 Import Main'!C73:DB73)</f>
        <v>0</v>
      </c>
      <c r="C73" s="19" t="str">
        <f aca="false">IFERROR(AVERAGEIF('2 Import Main'!$C$3:$DB$3,"F",'2 Import Main'!C73:DB73),"")</f>
        <v/>
      </c>
      <c r="D73" s="19" t="str">
        <f aca="false">IFERROR(AVERAGEIF('2 Import Main'!$C$3:$DB$3,"R",'2 Import Main'!C73:DB73),"")</f>
        <v/>
      </c>
      <c r="E73" s="20" t="n">
        <f aca="false">IFERROR(MAX('2 Import Main'!C73:DB73),"")</f>
        <v>0</v>
      </c>
      <c r="F73" s="20" t="n">
        <f aca="false">IFERROR(MIN('2 Import Main'!C73:DB73),"")</f>
        <v>0</v>
      </c>
      <c r="G73" s="20" t="str">
        <f aca="false">IF(B73=0,"",IF(E73=F73,1,0))</f>
        <v/>
      </c>
      <c r="H73" s="20" t="n">
        <f aca="false">IF(OR(B73=0,C73="",D73=""),0,IF(OR(AND(C73&gt;=4,D73&gt;=4),AND(C73&lt;=2,D73&lt;=2)),1,0))</f>
        <v>0</v>
      </c>
      <c r="I73" s="20" t="str">
        <f aca="false">IF(B73=0,"",IF(OR(G73=1,H73=1),0,1))</f>
        <v/>
      </c>
    </row>
    <row r="74" customFormat="false" ht="15" hidden="false" customHeight="false" outlineLevel="0" collapsed="false">
      <c r="A74" s="20" t="str">
        <f aca="false">IF(COUNT('2 Import Main'!C74:DB74)=0,"",74)</f>
        <v/>
      </c>
      <c r="B74" s="20" t="n">
        <f aca="false">COUNT('2 Import Main'!C74:DB74)</f>
        <v>0</v>
      </c>
      <c r="C74" s="19" t="str">
        <f aca="false">IFERROR(AVERAGEIF('2 Import Main'!$C$3:$DB$3,"F",'2 Import Main'!C74:DB74),"")</f>
        <v/>
      </c>
      <c r="D74" s="19" t="str">
        <f aca="false">IFERROR(AVERAGEIF('2 Import Main'!$C$3:$DB$3,"R",'2 Import Main'!C74:DB74),"")</f>
        <v/>
      </c>
      <c r="E74" s="20" t="n">
        <f aca="false">IFERROR(MAX('2 Import Main'!C74:DB74),"")</f>
        <v>0</v>
      </c>
      <c r="F74" s="20" t="n">
        <f aca="false">IFERROR(MIN('2 Import Main'!C74:DB74),"")</f>
        <v>0</v>
      </c>
      <c r="G74" s="20" t="str">
        <f aca="false">IF(B74=0,"",IF(E74=F74,1,0))</f>
        <v/>
      </c>
      <c r="H74" s="20" t="n">
        <f aca="false">IF(OR(B74=0,C74="",D74=""),0,IF(OR(AND(C74&gt;=4,D74&gt;=4),AND(C74&lt;=2,D74&lt;=2)),1,0))</f>
        <v>0</v>
      </c>
      <c r="I74" s="20" t="str">
        <f aca="false">IF(B74=0,"",IF(OR(G74=1,H74=1),0,1))</f>
        <v/>
      </c>
    </row>
    <row r="75" customFormat="false" ht="15" hidden="false" customHeight="false" outlineLevel="0" collapsed="false">
      <c r="A75" s="20" t="str">
        <f aca="false">IF(COUNT('2 Import Main'!C75:DB75)=0,"",75)</f>
        <v/>
      </c>
      <c r="B75" s="20" t="n">
        <f aca="false">COUNT('2 Import Main'!C75:DB75)</f>
        <v>0</v>
      </c>
      <c r="C75" s="19" t="str">
        <f aca="false">IFERROR(AVERAGEIF('2 Import Main'!$C$3:$DB$3,"F",'2 Import Main'!C75:DB75),"")</f>
        <v/>
      </c>
      <c r="D75" s="19" t="str">
        <f aca="false">IFERROR(AVERAGEIF('2 Import Main'!$C$3:$DB$3,"R",'2 Import Main'!C75:DB75),"")</f>
        <v/>
      </c>
      <c r="E75" s="20" t="n">
        <f aca="false">IFERROR(MAX('2 Import Main'!C75:DB75),"")</f>
        <v>0</v>
      </c>
      <c r="F75" s="20" t="n">
        <f aca="false">IFERROR(MIN('2 Import Main'!C75:DB75),"")</f>
        <v>0</v>
      </c>
      <c r="G75" s="20" t="str">
        <f aca="false">IF(B75=0,"",IF(E75=F75,1,0))</f>
        <v/>
      </c>
      <c r="H75" s="20" t="n">
        <f aca="false">IF(OR(B75=0,C75="",D75=""),0,IF(OR(AND(C75&gt;=4,D75&gt;=4),AND(C75&lt;=2,D75&lt;=2)),1,0))</f>
        <v>0</v>
      </c>
      <c r="I75" s="20" t="str">
        <f aca="false">IF(B75=0,"",IF(OR(G75=1,H75=1),0,1))</f>
        <v/>
      </c>
    </row>
    <row r="76" customFormat="false" ht="15" hidden="false" customHeight="false" outlineLevel="0" collapsed="false">
      <c r="A76" s="20" t="str">
        <f aca="false">IF(COUNT('2 Import Main'!C76:DB76)=0,"",76)</f>
        <v/>
      </c>
      <c r="B76" s="20" t="n">
        <f aca="false">COUNT('2 Import Main'!C76:DB76)</f>
        <v>0</v>
      </c>
      <c r="C76" s="19" t="str">
        <f aca="false">IFERROR(AVERAGEIF('2 Import Main'!$C$3:$DB$3,"F",'2 Import Main'!C76:DB76),"")</f>
        <v/>
      </c>
      <c r="D76" s="19" t="str">
        <f aca="false">IFERROR(AVERAGEIF('2 Import Main'!$C$3:$DB$3,"R",'2 Import Main'!C76:DB76),"")</f>
        <v/>
      </c>
      <c r="E76" s="20" t="n">
        <f aca="false">IFERROR(MAX('2 Import Main'!C76:DB76),"")</f>
        <v>0</v>
      </c>
      <c r="F76" s="20" t="n">
        <f aca="false">IFERROR(MIN('2 Import Main'!C76:DB76),"")</f>
        <v>0</v>
      </c>
      <c r="G76" s="20" t="str">
        <f aca="false">IF(B76=0,"",IF(E76=F76,1,0))</f>
        <v/>
      </c>
      <c r="H76" s="20" t="n">
        <f aca="false">IF(OR(B76=0,C76="",D76=""),0,IF(OR(AND(C76&gt;=4,D76&gt;=4),AND(C76&lt;=2,D76&lt;=2)),1,0))</f>
        <v>0</v>
      </c>
      <c r="I76" s="20" t="str">
        <f aca="false">IF(B76=0,"",IF(OR(G76=1,H76=1),0,1))</f>
        <v/>
      </c>
    </row>
    <row r="77" customFormat="false" ht="15" hidden="false" customHeight="false" outlineLevel="0" collapsed="false">
      <c r="A77" s="20" t="str">
        <f aca="false">IF(COUNT('2 Import Main'!C77:DB77)=0,"",77)</f>
        <v/>
      </c>
      <c r="B77" s="20" t="n">
        <f aca="false">COUNT('2 Import Main'!C77:DB77)</f>
        <v>0</v>
      </c>
      <c r="C77" s="19" t="str">
        <f aca="false">IFERROR(AVERAGEIF('2 Import Main'!$C$3:$DB$3,"F",'2 Import Main'!C77:DB77),"")</f>
        <v/>
      </c>
      <c r="D77" s="19" t="str">
        <f aca="false">IFERROR(AVERAGEIF('2 Import Main'!$C$3:$DB$3,"R",'2 Import Main'!C77:DB77),"")</f>
        <v/>
      </c>
      <c r="E77" s="20" t="n">
        <f aca="false">IFERROR(MAX('2 Import Main'!C77:DB77),"")</f>
        <v>0</v>
      </c>
      <c r="F77" s="20" t="n">
        <f aca="false">IFERROR(MIN('2 Import Main'!C77:DB77),"")</f>
        <v>0</v>
      </c>
      <c r="G77" s="20" t="str">
        <f aca="false">IF(B77=0,"",IF(E77=F77,1,0))</f>
        <v/>
      </c>
      <c r="H77" s="20" t="n">
        <f aca="false">IF(OR(B77=0,C77="",D77=""),0,IF(OR(AND(C77&gt;=4,D77&gt;=4),AND(C77&lt;=2,D77&lt;=2)),1,0))</f>
        <v>0</v>
      </c>
      <c r="I77" s="20" t="str">
        <f aca="false">IF(B77=0,"",IF(OR(G77=1,H77=1),0,1))</f>
        <v/>
      </c>
    </row>
    <row r="78" customFormat="false" ht="15" hidden="false" customHeight="false" outlineLevel="0" collapsed="false">
      <c r="A78" s="20" t="str">
        <f aca="false">IF(COUNT('2 Import Main'!C78:DB78)=0,"",78)</f>
        <v/>
      </c>
      <c r="B78" s="20" t="n">
        <f aca="false">COUNT('2 Import Main'!C78:DB78)</f>
        <v>0</v>
      </c>
      <c r="C78" s="19" t="str">
        <f aca="false">IFERROR(AVERAGEIF('2 Import Main'!$C$3:$DB$3,"F",'2 Import Main'!C78:DB78),"")</f>
        <v/>
      </c>
      <c r="D78" s="19" t="str">
        <f aca="false">IFERROR(AVERAGEIF('2 Import Main'!$C$3:$DB$3,"R",'2 Import Main'!C78:DB78),"")</f>
        <v/>
      </c>
      <c r="E78" s="20" t="n">
        <f aca="false">IFERROR(MAX('2 Import Main'!C78:DB78),"")</f>
        <v>0</v>
      </c>
      <c r="F78" s="20" t="n">
        <f aca="false">IFERROR(MIN('2 Import Main'!C78:DB78),"")</f>
        <v>0</v>
      </c>
      <c r="G78" s="20" t="str">
        <f aca="false">IF(B78=0,"",IF(E78=F78,1,0))</f>
        <v/>
      </c>
      <c r="H78" s="20" t="n">
        <f aca="false">IF(OR(B78=0,C78="",D78=""),0,IF(OR(AND(C78&gt;=4,D78&gt;=4),AND(C78&lt;=2,D78&lt;=2)),1,0))</f>
        <v>0</v>
      </c>
      <c r="I78" s="20" t="str">
        <f aca="false">IF(B78=0,"",IF(OR(G78=1,H78=1),0,1))</f>
        <v/>
      </c>
    </row>
    <row r="79" customFormat="false" ht="15" hidden="false" customHeight="false" outlineLevel="0" collapsed="false">
      <c r="A79" s="20" t="str">
        <f aca="false">IF(COUNT('2 Import Main'!C79:DB79)=0,"",79)</f>
        <v/>
      </c>
      <c r="B79" s="20" t="n">
        <f aca="false">COUNT('2 Import Main'!C79:DB79)</f>
        <v>0</v>
      </c>
      <c r="C79" s="19" t="str">
        <f aca="false">IFERROR(AVERAGEIF('2 Import Main'!$C$3:$DB$3,"F",'2 Import Main'!C79:DB79),"")</f>
        <v/>
      </c>
      <c r="D79" s="19" t="str">
        <f aca="false">IFERROR(AVERAGEIF('2 Import Main'!$C$3:$DB$3,"R",'2 Import Main'!C79:DB79),"")</f>
        <v/>
      </c>
      <c r="E79" s="20" t="n">
        <f aca="false">IFERROR(MAX('2 Import Main'!C79:DB79),"")</f>
        <v>0</v>
      </c>
      <c r="F79" s="20" t="n">
        <f aca="false">IFERROR(MIN('2 Import Main'!C79:DB79),"")</f>
        <v>0</v>
      </c>
      <c r="G79" s="20" t="str">
        <f aca="false">IF(B79=0,"",IF(E79=F79,1,0))</f>
        <v/>
      </c>
      <c r="H79" s="20" t="n">
        <f aca="false">IF(OR(B79=0,C79="",D79=""),0,IF(OR(AND(C79&gt;=4,D79&gt;=4),AND(C79&lt;=2,D79&lt;=2)),1,0))</f>
        <v>0</v>
      </c>
      <c r="I79" s="20" t="str">
        <f aca="false">IF(B79=0,"",IF(OR(G79=1,H79=1),0,1))</f>
        <v/>
      </c>
    </row>
    <row r="80" customFormat="false" ht="15" hidden="false" customHeight="false" outlineLevel="0" collapsed="false">
      <c r="A80" s="20" t="str">
        <f aca="false">IF(COUNT('2 Import Main'!C80:DB80)=0,"",80)</f>
        <v/>
      </c>
      <c r="B80" s="20" t="n">
        <f aca="false">COUNT('2 Import Main'!C80:DB80)</f>
        <v>0</v>
      </c>
      <c r="C80" s="19" t="str">
        <f aca="false">IFERROR(AVERAGEIF('2 Import Main'!$C$3:$DB$3,"F",'2 Import Main'!C80:DB80),"")</f>
        <v/>
      </c>
      <c r="D80" s="19" t="str">
        <f aca="false">IFERROR(AVERAGEIF('2 Import Main'!$C$3:$DB$3,"R",'2 Import Main'!C80:DB80),"")</f>
        <v/>
      </c>
      <c r="E80" s="20" t="n">
        <f aca="false">IFERROR(MAX('2 Import Main'!C80:DB80),"")</f>
        <v>0</v>
      </c>
      <c r="F80" s="20" t="n">
        <f aca="false">IFERROR(MIN('2 Import Main'!C80:DB80),"")</f>
        <v>0</v>
      </c>
      <c r="G80" s="20" t="str">
        <f aca="false">IF(B80=0,"",IF(E80=F80,1,0))</f>
        <v/>
      </c>
      <c r="H80" s="20" t="n">
        <f aca="false">IF(OR(B80=0,C80="",D80=""),0,IF(OR(AND(C80&gt;=4,D80&gt;=4),AND(C80&lt;=2,D80&lt;=2)),1,0))</f>
        <v>0</v>
      </c>
      <c r="I80" s="20" t="str">
        <f aca="false">IF(B80=0,"",IF(OR(G80=1,H80=1),0,1))</f>
        <v/>
      </c>
    </row>
    <row r="81" customFormat="false" ht="15" hidden="false" customHeight="false" outlineLevel="0" collapsed="false">
      <c r="A81" s="20" t="str">
        <f aca="false">IF(COUNT('2 Import Main'!C81:DB81)=0,"",81)</f>
        <v/>
      </c>
      <c r="B81" s="20" t="n">
        <f aca="false">COUNT('2 Import Main'!C81:DB81)</f>
        <v>0</v>
      </c>
      <c r="C81" s="19" t="str">
        <f aca="false">IFERROR(AVERAGEIF('2 Import Main'!$C$3:$DB$3,"F",'2 Import Main'!C81:DB81),"")</f>
        <v/>
      </c>
      <c r="D81" s="19" t="str">
        <f aca="false">IFERROR(AVERAGEIF('2 Import Main'!$C$3:$DB$3,"R",'2 Import Main'!C81:DB81),"")</f>
        <v/>
      </c>
      <c r="E81" s="20" t="n">
        <f aca="false">IFERROR(MAX('2 Import Main'!C81:DB81),"")</f>
        <v>0</v>
      </c>
      <c r="F81" s="20" t="n">
        <f aca="false">IFERROR(MIN('2 Import Main'!C81:DB81),"")</f>
        <v>0</v>
      </c>
      <c r="G81" s="20" t="str">
        <f aca="false">IF(B81=0,"",IF(E81=F81,1,0))</f>
        <v/>
      </c>
      <c r="H81" s="20" t="n">
        <f aca="false">IF(OR(B81=0,C81="",D81=""),0,IF(OR(AND(C81&gt;=4,D81&gt;=4),AND(C81&lt;=2,D81&lt;=2)),1,0))</f>
        <v>0</v>
      </c>
      <c r="I81" s="20" t="str">
        <f aca="false">IF(B81=0,"",IF(OR(G81=1,H81=1),0,1))</f>
        <v/>
      </c>
    </row>
    <row r="82" customFormat="false" ht="15" hidden="false" customHeight="false" outlineLevel="0" collapsed="false">
      <c r="A82" s="20" t="str">
        <f aca="false">IF(COUNT('2 Import Main'!C82:DB82)=0,"",82)</f>
        <v/>
      </c>
      <c r="B82" s="20" t="n">
        <f aca="false">COUNT('2 Import Main'!C82:DB82)</f>
        <v>0</v>
      </c>
      <c r="C82" s="19" t="str">
        <f aca="false">IFERROR(AVERAGEIF('2 Import Main'!$C$3:$DB$3,"F",'2 Import Main'!C82:DB82),"")</f>
        <v/>
      </c>
      <c r="D82" s="19" t="str">
        <f aca="false">IFERROR(AVERAGEIF('2 Import Main'!$C$3:$DB$3,"R",'2 Import Main'!C82:DB82),"")</f>
        <v/>
      </c>
      <c r="E82" s="20" t="n">
        <f aca="false">IFERROR(MAX('2 Import Main'!C82:DB82),"")</f>
        <v>0</v>
      </c>
      <c r="F82" s="20" t="n">
        <f aca="false">IFERROR(MIN('2 Import Main'!C82:DB82),"")</f>
        <v>0</v>
      </c>
      <c r="G82" s="20" t="str">
        <f aca="false">IF(B82=0,"",IF(E82=F82,1,0))</f>
        <v/>
      </c>
      <c r="H82" s="20" t="n">
        <f aca="false">IF(OR(B82=0,C82="",D82=""),0,IF(OR(AND(C82&gt;=4,D82&gt;=4),AND(C82&lt;=2,D82&lt;=2)),1,0))</f>
        <v>0</v>
      </c>
      <c r="I82" s="20" t="str">
        <f aca="false">IF(B82=0,"",IF(OR(G82=1,H82=1),0,1))</f>
        <v/>
      </c>
    </row>
    <row r="83" customFormat="false" ht="15" hidden="false" customHeight="false" outlineLevel="0" collapsed="false">
      <c r="A83" s="20" t="str">
        <f aca="false">IF(COUNT('2 Import Main'!C83:DB83)=0,"",83)</f>
        <v/>
      </c>
      <c r="B83" s="20" t="n">
        <f aca="false">COUNT('2 Import Main'!C83:DB83)</f>
        <v>0</v>
      </c>
      <c r="C83" s="19" t="str">
        <f aca="false">IFERROR(AVERAGEIF('2 Import Main'!$C$3:$DB$3,"F",'2 Import Main'!C83:DB83),"")</f>
        <v/>
      </c>
      <c r="D83" s="19" t="str">
        <f aca="false">IFERROR(AVERAGEIF('2 Import Main'!$C$3:$DB$3,"R",'2 Import Main'!C83:DB83),"")</f>
        <v/>
      </c>
      <c r="E83" s="20" t="n">
        <f aca="false">IFERROR(MAX('2 Import Main'!C83:DB83),"")</f>
        <v>0</v>
      </c>
      <c r="F83" s="20" t="n">
        <f aca="false">IFERROR(MIN('2 Import Main'!C83:DB83),"")</f>
        <v>0</v>
      </c>
      <c r="G83" s="20" t="str">
        <f aca="false">IF(B83=0,"",IF(E83=F83,1,0))</f>
        <v/>
      </c>
      <c r="H83" s="20" t="n">
        <f aca="false">IF(OR(B83=0,C83="",D83=""),0,IF(OR(AND(C83&gt;=4,D83&gt;=4),AND(C83&lt;=2,D83&lt;=2)),1,0))</f>
        <v>0</v>
      </c>
      <c r="I83" s="20" t="str">
        <f aca="false">IF(B83=0,"",IF(OR(G83=1,H83=1),0,1))</f>
        <v/>
      </c>
    </row>
    <row r="84" customFormat="false" ht="15" hidden="false" customHeight="false" outlineLevel="0" collapsed="false">
      <c r="A84" s="20" t="str">
        <f aca="false">IF(COUNT('2 Import Main'!C84:DB84)=0,"",84)</f>
        <v/>
      </c>
      <c r="B84" s="20" t="n">
        <f aca="false">COUNT('2 Import Main'!C84:DB84)</f>
        <v>0</v>
      </c>
      <c r="C84" s="19" t="str">
        <f aca="false">IFERROR(AVERAGEIF('2 Import Main'!$C$3:$DB$3,"F",'2 Import Main'!C84:DB84),"")</f>
        <v/>
      </c>
      <c r="D84" s="19" t="str">
        <f aca="false">IFERROR(AVERAGEIF('2 Import Main'!$C$3:$DB$3,"R",'2 Import Main'!C84:DB84),"")</f>
        <v/>
      </c>
      <c r="E84" s="20" t="n">
        <f aca="false">IFERROR(MAX('2 Import Main'!C84:DB84),"")</f>
        <v>0</v>
      </c>
      <c r="F84" s="20" t="n">
        <f aca="false">IFERROR(MIN('2 Import Main'!C84:DB84),"")</f>
        <v>0</v>
      </c>
      <c r="G84" s="20" t="str">
        <f aca="false">IF(B84=0,"",IF(E84=F84,1,0))</f>
        <v/>
      </c>
      <c r="H84" s="20" t="n">
        <f aca="false">IF(OR(B84=0,C84="",D84=""),0,IF(OR(AND(C84&gt;=4,D84&gt;=4),AND(C84&lt;=2,D84&lt;=2)),1,0))</f>
        <v>0</v>
      </c>
      <c r="I84" s="20" t="str">
        <f aca="false">IF(B84=0,"",IF(OR(G84=1,H84=1),0,1))</f>
        <v/>
      </c>
    </row>
    <row r="85" customFormat="false" ht="15" hidden="false" customHeight="false" outlineLevel="0" collapsed="false">
      <c r="A85" s="20" t="str">
        <f aca="false">IF(COUNT('2 Import Main'!C85:DB85)=0,"",85)</f>
        <v/>
      </c>
      <c r="B85" s="20" t="n">
        <f aca="false">COUNT('2 Import Main'!C85:DB85)</f>
        <v>0</v>
      </c>
      <c r="C85" s="19" t="str">
        <f aca="false">IFERROR(AVERAGEIF('2 Import Main'!$C$3:$DB$3,"F",'2 Import Main'!C85:DB85),"")</f>
        <v/>
      </c>
      <c r="D85" s="19" t="str">
        <f aca="false">IFERROR(AVERAGEIF('2 Import Main'!$C$3:$DB$3,"R",'2 Import Main'!C85:DB85),"")</f>
        <v/>
      </c>
      <c r="E85" s="20" t="n">
        <f aca="false">IFERROR(MAX('2 Import Main'!C85:DB85),"")</f>
        <v>0</v>
      </c>
      <c r="F85" s="20" t="n">
        <f aca="false">IFERROR(MIN('2 Import Main'!C85:DB85),"")</f>
        <v>0</v>
      </c>
      <c r="G85" s="20" t="str">
        <f aca="false">IF(B85=0,"",IF(E85=F85,1,0))</f>
        <v/>
      </c>
      <c r="H85" s="20" t="n">
        <f aca="false">IF(OR(B85=0,C85="",D85=""),0,IF(OR(AND(C85&gt;=4,D85&gt;=4),AND(C85&lt;=2,D85&lt;=2)),1,0))</f>
        <v>0</v>
      </c>
      <c r="I85" s="20" t="str">
        <f aca="false">IF(B85=0,"",IF(OR(G85=1,H85=1),0,1))</f>
        <v/>
      </c>
    </row>
    <row r="86" customFormat="false" ht="15" hidden="false" customHeight="false" outlineLevel="0" collapsed="false">
      <c r="A86" s="20" t="str">
        <f aca="false">IF(COUNT('2 Import Main'!C86:DB86)=0,"",86)</f>
        <v/>
      </c>
      <c r="B86" s="20" t="n">
        <f aca="false">COUNT('2 Import Main'!C86:DB86)</f>
        <v>0</v>
      </c>
      <c r="C86" s="19" t="str">
        <f aca="false">IFERROR(AVERAGEIF('2 Import Main'!$C$3:$DB$3,"F",'2 Import Main'!C86:DB86),"")</f>
        <v/>
      </c>
      <c r="D86" s="19" t="str">
        <f aca="false">IFERROR(AVERAGEIF('2 Import Main'!$C$3:$DB$3,"R",'2 Import Main'!C86:DB86),"")</f>
        <v/>
      </c>
      <c r="E86" s="20" t="n">
        <f aca="false">IFERROR(MAX('2 Import Main'!C86:DB86),"")</f>
        <v>0</v>
      </c>
      <c r="F86" s="20" t="n">
        <f aca="false">IFERROR(MIN('2 Import Main'!C86:DB86),"")</f>
        <v>0</v>
      </c>
      <c r="G86" s="20" t="str">
        <f aca="false">IF(B86=0,"",IF(E86=F86,1,0))</f>
        <v/>
      </c>
      <c r="H86" s="20" t="n">
        <f aca="false">IF(OR(B86=0,C86="",D86=""),0,IF(OR(AND(C86&gt;=4,D86&gt;=4),AND(C86&lt;=2,D86&lt;=2)),1,0))</f>
        <v>0</v>
      </c>
      <c r="I86" s="20" t="str">
        <f aca="false">IF(B86=0,"",IF(OR(G86=1,H86=1),0,1))</f>
        <v/>
      </c>
    </row>
    <row r="87" customFormat="false" ht="15" hidden="false" customHeight="false" outlineLevel="0" collapsed="false">
      <c r="A87" s="20" t="str">
        <f aca="false">IF(COUNT('2 Import Main'!C87:DB87)=0,"",87)</f>
        <v/>
      </c>
      <c r="B87" s="20" t="n">
        <f aca="false">COUNT('2 Import Main'!C87:DB87)</f>
        <v>0</v>
      </c>
      <c r="C87" s="19" t="str">
        <f aca="false">IFERROR(AVERAGEIF('2 Import Main'!$C$3:$DB$3,"F",'2 Import Main'!C87:DB87),"")</f>
        <v/>
      </c>
      <c r="D87" s="19" t="str">
        <f aca="false">IFERROR(AVERAGEIF('2 Import Main'!$C$3:$DB$3,"R",'2 Import Main'!C87:DB87),"")</f>
        <v/>
      </c>
      <c r="E87" s="20" t="n">
        <f aca="false">IFERROR(MAX('2 Import Main'!C87:DB87),"")</f>
        <v>0</v>
      </c>
      <c r="F87" s="20" t="n">
        <f aca="false">IFERROR(MIN('2 Import Main'!C87:DB87),"")</f>
        <v>0</v>
      </c>
      <c r="G87" s="20" t="str">
        <f aca="false">IF(B87=0,"",IF(E87=F87,1,0))</f>
        <v/>
      </c>
      <c r="H87" s="20" t="n">
        <f aca="false">IF(OR(B87=0,C87="",D87=""),0,IF(OR(AND(C87&gt;=4,D87&gt;=4),AND(C87&lt;=2,D87&lt;=2)),1,0))</f>
        <v>0</v>
      </c>
      <c r="I87" s="20" t="str">
        <f aca="false">IF(B87=0,"",IF(OR(G87=1,H87=1),0,1))</f>
        <v/>
      </c>
    </row>
    <row r="88" customFormat="false" ht="15" hidden="false" customHeight="false" outlineLevel="0" collapsed="false">
      <c r="A88" s="20" t="str">
        <f aca="false">IF(COUNT('2 Import Main'!C88:DB88)=0,"",88)</f>
        <v/>
      </c>
      <c r="B88" s="20" t="n">
        <f aca="false">COUNT('2 Import Main'!C88:DB88)</f>
        <v>0</v>
      </c>
      <c r="C88" s="19" t="str">
        <f aca="false">IFERROR(AVERAGEIF('2 Import Main'!$C$3:$DB$3,"F",'2 Import Main'!C88:DB88),"")</f>
        <v/>
      </c>
      <c r="D88" s="19" t="str">
        <f aca="false">IFERROR(AVERAGEIF('2 Import Main'!$C$3:$DB$3,"R",'2 Import Main'!C88:DB88),"")</f>
        <v/>
      </c>
      <c r="E88" s="20" t="n">
        <f aca="false">IFERROR(MAX('2 Import Main'!C88:DB88),"")</f>
        <v>0</v>
      </c>
      <c r="F88" s="20" t="n">
        <f aca="false">IFERROR(MIN('2 Import Main'!C88:DB88),"")</f>
        <v>0</v>
      </c>
      <c r="G88" s="20" t="str">
        <f aca="false">IF(B88=0,"",IF(E88=F88,1,0))</f>
        <v/>
      </c>
      <c r="H88" s="20" t="n">
        <f aca="false">IF(OR(B88=0,C88="",D88=""),0,IF(OR(AND(C88&gt;=4,D88&gt;=4),AND(C88&lt;=2,D88&lt;=2)),1,0))</f>
        <v>0</v>
      </c>
      <c r="I88" s="20" t="str">
        <f aca="false">IF(B88=0,"",IF(OR(G88=1,H88=1),0,1))</f>
        <v/>
      </c>
    </row>
    <row r="89" customFormat="false" ht="15" hidden="false" customHeight="false" outlineLevel="0" collapsed="false">
      <c r="A89" s="20" t="str">
        <f aca="false">IF(COUNT('2 Import Main'!C89:DB89)=0,"",89)</f>
        <v/>
      </c>
      <c r="B89" s="20" t="n">
        <f aca="false">COUNT('2 Import Main'!C89:DB89)</f>
        <v>0</v>
      </c>
      <c r="C89" s="19" t="str">
        <f aca="false">IFERROR(AVERAGEIF('2 Import Main'!$C$3:$DB$3,"F",'2 Import Main'!C89:DB89),"")</f>
        <v/>
      </c>
      <c r="D89" s="19" t="str">
        <f aca="false">IFERROR(AVERAGEIF('2 Import Main'!$C$3:$DB$3,"R",'2 Import Main'!C89:DB89),"")</f>
        <v/>
      </c>
      <c r="E89" s="20" t="n">
        <f aca="false">IFERROR(MAX('2 Import Main'!C89:DB89),"")</f>
        <v>0</v>
      </c>
      <c r="F89" s="20" t="n">
        <f aca="false">IFERROR(MIN('2 Import Main'!C89:DB89),"")</f>
        <v>0</v>
      </c>
      <c r="G89" s="20" t="str">
        <f aca="false">IF(B89=0,"",IF(E89=F89,1,0))</f>
        <v/>
      </c>
      <c r="H89" s="20" t="n">
        <f aca="false">IF(OR(B89=0,C89="",D89=""),0,IF(OR(AND(C89&gt;=4,D89&gt;=4),AND(C89&lt;=2,D89&lt;=2)),1,0))</f>
        <v>0</v>
      </c>
      <c r="I89" s="20" t="str">
        <f aca="false">IF(B89=0,"",IF(OR(G89=1,H89=1),0,1))</f>
        <v/>
      </c>
    </row>
    <row r="90" customFormat="false" ht="15" hidden="false" customHeight="false" outlineLevel="0" collapsed="false">
      <c r="A90" s="20" t="str">
        <f aca="false">IF(COUNT('2 Import Main'!C90:DB90)=0,"",90)</f>
        <v/>
      </c>
      <c r="B90" s="20" t="n">
        <f aca="false">COUNT('2 Import Main'!C90:DB90)</f>
        <v>0</v>
      </c>
      <c r="C90" s="19" t="str">
        <f aca="false">IFERROR(AVERAGEIF('2 Import Main'!$C$3:$DB$3,"F",'2 Import Main'!C90:DB90),"")</f>
        <v/>
      </c>
      <c r="D90" s="19" t="str">
        <f aca="false">IFERROR(AVERAGEIF('2 Import Main'!$C$3:$DB$3,"R",'2 Import Main'!C90:DB90),"")</f>
        <v/>
      </c>
      <c r="E90" s="20" t="n">
        <f aca="false">IFERROR(MAX('2 Import Main'!C90:DB90),"")</f>
        <v>0</v>
      </c>
      <c r="F90" s="20" t="n">
        <f aca="false">IFERROR(MIN('2 Import Main'!C90:DB90),"")</f>
        <v>0</v>
      </c>
      <c r="G90" s="20" t="str">
        <f aca="false">IF(B90=0,"",IF(E90=F90,1,0))</f>
        <v/>
      </c>
      <c r="H90" s="20" t="n">
        <f aca="false">IF(OR(B90=0,C90="",D90=""),0,IF(OR(AND(C90&gt;=4,D90&gt;=4),AND(C90&lt;=2,D90&lt;=2)),1,0))</f>
        <v>0</v>
      </c>
      <c r="I90" s="20" t="str">
        <f aca="false">IF(B90=0,"",IF(OR(G90=1,H90=1),0,1))</f>
        <v/>
      </c>
    </row>
    <row r="91" customFormat="false" ht="15" hidden="false" customHeight="false" outlineLevel="0" collapsed="false">
      <c r="A91" s="20" t="str">
        <f aca="false">IF(COUNT('2 Import Main'!C91:DB91)=0,"",91)</f>
        <v/>
      </c>
      <c r="B91" s="20" t="n">
        <f aca="false">COUNT('2 Import Main'!C91:DB91)</f>
        <v>0</v>
      </c>
      <c r="C91" s="19" t="str">
        <f aca="false">IFERROR(AVERAGEIF('2 Import Main'!$C$3:$DB$3,"F",'2 Import Main'!C91:DB91),"")</f>
        <v/>
      </c>
      <c r="D91" s="19" t="str">
        <f aca="false">IFERROR(AVERAGEIF('2 Import Main'!$C$3:$DB$3,"R",'2 Import Main'!C91:DB91),"")</f>
        <v/>
      </c>
      <c r="E91" s="20" t="n">
        <f aca="false">IFERROR(MAX('2 Import Main'!C91:DB91),"")</f>
        <v>0</v>
      </c>
      <c r="F91" s="20" t="n">
        <f aca="false">IFERROR(MIN('2 Import Main'!C91:DB91),"")</f>
        <v>0</v>
      </c>
      <c r="G91" s="20" t="str">
        <f aca="false">IF(B91=0,"",IF(E91=F91,1,0))</f>
        <v/>
      </c>
      <c r="H91" s="20" t="n">
        <f aca="false">IF(OR(B91=0,C91="",D91=""),0,IF(OR(AND(C91&gt;=4,D91&gt;=4),AND(C91&lt;=2,D91&lt;=2)),1,0))</f>
        <v>0</v>
      </c>
      <c r="I91" s="20" t="str">
        <f aca="false">IF(B91=0,"",IF(OR(G91=1,H91=1),0,1))</f>
        <v/>
      </c>
    </row>
    <row r="92" customFormat="false" ht="15" hidden="false" customHeight="false" outlineLevel="0" collapsed="false">
      <c r="A92" s="20" t="str">
        <f aca="false">IF(COUNT('2 Import Main'!C92:DB92)=0,"",92)</f>
        <v/>
      </c>
      <c r="B92" s="20" t="n">
        <f aca="false">COUNT('2 Import Main'!C92:DB92)</f>
        <v>0</v>
      </c>
      <c r="C92" s="19" t="str">
        <f aca="false">IFERROR(AVERAGEIF('2 Import Main'!$C$3:$DB$3,"F",'2 Import Main'!C92:DB92),"")</f>
        <v/>
      </c>
      <c r="D92" s="19" t="str">
        <f aca="false">IFERROR(AVERAGEIF('2 Import Main'!$C$3:$DB$3,"R",'2 Import Main'!C92:DB92),"")</f>
        <v/>
      </c>
      <c r="E92" s="20" t="n">
        <f aca="false">IFERROR(MAX('2 Import Main'!C92:DB92),"")</f>
        <v>0</v>
      </c>
      <c r="F92" s="20" t="n">
        <f aca="false">IFERROR(MIN('2 Import Main'!C92:DB92),"")</f>
        <v>0</v>
      </c>
      <c r="G92" s="20" t="str">
        <f aca="false">IF(B92=0,"",IF(E92=F92,1,0))</f>
        <v/>
      </c>
      <c r="H92" s="20" t="n">
        <f aca="false">IF(OR(B92=0,C92="",D92=""),0,IF(OR(AND(C92&gt;=4,D92&gt;=4),AND(C92&lt;=2,D92&lt;=2)),1,0))</f>
        <v>0</v>
      </c>
      <c r="I92" s="20" t="str">
        <f aca="false">IF(B92=0,"",IF(OR(G92=1,H92=1),0,1))</f>
        <v/>
      </c>
    </row>
    <row r="93" customFormat="false" ht="15" hidden="false" customHeight="false" outlineLevel="0" collapsed="false">
      <c r="A93" s="20" t="str">
        <f aca="false">IF(COUNT('2 Import Main'!C93:DB93)=0,"",93)</f>
        <v/>
      </c>
      <c r="B93" s="20" t="n">
        <f aca="false">COUNT('2 Import Main'!C93:DB93)</f>
        <v>0</v>
      </c>
      <c r="C93" s="19" t="str">
        <f aca="false">IFERROR(AVERAGEIF('2 Import Main'!$C$3:$DB$3,"F",'2 Import Main'!C93:DB93),"")</f>
        <v/>
      </c>
      <c r="D93" s="19" t="str">
        <f aca="false">IFERROR(AVERAGEIF('2 Import Main'!$C$3:$DB$3,"R",'2 Import Main'!C93:DB93),"")</f>
        <v/>
      </c>
      <c r="E93" s="20" t="n">
        <f aca="false">IFERROR(MAX('2 Import Main'!C93:DB93),"")</f>
        <v>0</v>
      </c>
      <c r="F93" s="20" t="n">
        <f aca="false">IFERROR(MIN('2 Import Main'!C93:DB93),"")</f>
        <v>0</v>
      </c>
      <c r="G93" s="20" t="str">
        <f aca="false">IF(B93=0,"",IF(E93=F93,1,0))</f>
        <v/>
      </c>
      <c r="H93" s="20" t="n">
        <f aca="false">IF(OR(B93=0,C93="",D93=""),0,IF(OR(AND(C93&gt;=4,D93&gt;=4),AND(C93&lt;=2,D93&lt;=2)),1,0))</f>
        <v>0</v>
      </c>
      <c r="I93" s="20" t="str">
        <f aca="false">IF(B93=0,"",IF(OR(G93=1,H93=1),0,1))</f>
        <v/>
      </c>
    </row>
    <row r="94" customFormat="false" ht="15" hidden="false" customHeight="false" outlineLevel="0" collapsed="false">
      <c r="A94" s="20" t="str">
        <f aca="false">IF(COUNT('2 Import Main'!C94:DB94)=0,"",94)</f>
        <v/>
      </c>
      <c r="B94" s="20" t="n">
        <f aca="false">COUNT('2 Import Main'!C94:DB94)</f>
        <v>0</v>
      </c>
      <c r="C94" s="19" t="str">
        <f aca="false">IFERROR(AVERAGEIF('2 Import Main'!$C$3:$DB$3,"F",'2 Import Main'!C94:DB94),"")</f>
        <v/>
      </c>
      <c r="D94" s="19" t="str">
        <f aca="false">IFERROR(AVERAGEIF('2 Import Main'!$C$3:$DB$3,"R",'2 Import Main'!C94:DB94),"")</f>
        <v/>
      </c>
      <c r="E94" s="20" t="n">
        <f aca="false">IFERROR(MAX('2 Import Main'!C94:DB94),"")</f>
        <v>0</v>
      </c>
      <c r="F94" s="20" t="n">
        <f aca="false">IFERROR(MIN('2 Import Main'!C94:DB94),"")</f>
        <v>0</v>
      </c>
      <c r="G94" s="20" t="str">
        <f aca="false">IF(B94=0,"",IF(E94=F94,1,0))</f>
        <v/>
      </c>
      <c r="H94" s="20" t="n">
        <f aca="false">IF(OR(B94=0,C94="",D94=""),0,IF(OR(AND(C94&gt;=4,D94&gt;=4),AND(C94&lt;=2,D94&lt;=2)),1,0))</f>
        <v>0</v>
      </c>
      <c r="I94" s="20" t="str">
        <f aca="false">IF(B94=0,"",IF(OR(G94=1,H94=1),0,1))</f>
        <v/>
      </c>
    </row>
    <row r="95" customFormat="false" ht="15" hidden="false" customHeight="false" outlineLevel="0" collapsed="false">
      <c r="A95" s="20" t="str">
        <f aca="false">IF(COUNT('2 Import Main'!C95:DB95)=0,"",95)</f>
        <v/>
      </c>
      <c r="B95" s="20" t="n">
        <f aca="false">COUNT('2 Import Main'!C95:DB95)</f>
        <v>0</v>
      </c>
      <c r="C95" s="19" t="str">
        <f aca="false">IFERROR(AVERAGEIF('2 Import Main'!$C$3:$DB$3,"F",'2 Import Main'!C95:DB95),"")</f>
        <v/>
      </c>
      <c r="D95" s="19" t="str">
        <f aca="false">IFERROR(AVERAGEIF('2 Import Main'!$C$3:$DB$3,"R",'2 Import Main'!C95:DB95),"")</f>
        <v/>
      </c>
      <c r="E95" s="20" t="n">
        <f aca="false">IFERROR(MAX('2 Import Main'!C95:DB95),"")</f>
        <v>0</v>
      </c>
      <c r="F95" s="20" t="n">
        <f aca="false">IFERROR(MIN('2 Import Main'!C95:DB95),"")</f>
        <v>0</v>
      </c>
      <c r="G95" s="20" t="str">
        <f aca="false">IF(B95=0,"",IF(E95=F95,1,0))</f>
        <v/>
      </c>
      <c r="H95" s="20" t="n">
        <f aca="false">IF(OR(B95=0,C95="",D95=""),0,IF(OR(AND(C95&gt;=4,D95&gt;=4),AND(C95&lt;=2,D95&lt;=2)),1,0))</f>
        <v>0</v>
      </c>
      <c r="I95" s="20" t="str">
        <f aca="false">IF(B95=0,"",IF(OR(G95=1,H95=1),0,1))</f>
        <v/>
      </c>
    </row>
    <row r="96" customFormat="false" ht="15" hidden="false" customHeight="false" outlineLevel="0" collapsed="false">
      <c r="A96" s="20" t="str">
        <f aca="false">IF(COUNT('2 Import Main'!C96:DB96)=0,"",96)</f>
        <v/>
      </c>
      <c r="B96" s="20" t="n">
        <f aca="false">COUNT('2 Import Main'!C96:DB96)</f>
        <v>0</v>
      </c>
      <c r="C96" s="19" t="str">
        <f aca="false">IFERROR(AVERAGEIF('2 Import Main'!$C$3:$DB$3,"F",'2 Import Main'!C96:DB96),"")</f>
        <v/>
      </c>
      <c r="D96" s="19" t="str">
        <f aca="false">IFERROR(AVERAGEIF('2 Import Main'!$C$3:$DB$3,"R",'2 Import Main'!C96:DB96),"")</f>
        <v/>
      </c>
      <c r="E96" s="20" t="n">
        <f aca="false">IFERROR(MAX('2 Import Main'!C96:DB96),"")</f>
        <v>0</v>
      </c>
      <c r="F96" s="20" t="n">
        <f aca="false">IFERROR(MIN('2 Import Main'!C96:DB96),"")</f>
        <v>0</v>
      </c>
      <c r="G96" s="20" t="str">
        <f aca="false">IF(B96=0,"",IF(E96=F96,1,0))</f>
        <v/>
      </c>
      <c r="H96" s="20" t="n">
        <f aca="false">IF(OR(B96=0,C96="",D96=""),0,IF(OR(AND(C96&gt;=4,D96&gt;=4),AND(C96&lt;=2,D96&lt;=2)),1,0))</f>
        <v>0</v>
      </c>
      <c r="I96" s="20" t="str">
        <f aca="false">IF(B96=0,"",IF(OR(G96=1,H96=1),0,1))</f>
        <v/>
      </c>
    </row>
    <row r="97" customFormat="false" ht="15" hidden="false" customHeight="false" outlineLevel="0" collapsed="false">
      <c r="A97" s="20" t="str">
        <f aca="false">IF(COUNT('2 Import Main'!C97:DB97)=0,"",97)</f>
        <v/>
      </c>
      <c r="B97" s="20" t="n">
        <f aca="false">COUNT('2 Import Main'!C97:DB97)</f>
        <v>0</v>
      </c>
      <c r="C97" s="19" t="str">
        <f aca="false">IFERROR(AVERAGEIF('2 Import Main'!$C$3:$DB$3,"F",'2 Import Main'!C97:DB97),"")</f>
        <v/>
      </c>
      <c r="D97" s="19" t="str">
        <f aca="false">IFERROR(AVERAGEIF('2 Import Main'!$C$3:$DB$3,"R",'2 Import Main'!C97:DB97),"")</f>
        <v/>
      </c>
      <c r="E97" s="20" t="n">
        <f aca="false">IFERROR(MAX('2 Import Main'!C97:DB97),"")</f>
        <v>0</v>
      </c>
      <c r="F97" s="20" t="n">
        <f aca="false">IFERROR(MIN('2 Import Main'!C97:DB97),"")</f>
        <v>0</v>
      </c>
      <c r="G97" s="20" t="str">
        <f aca="false">IF(B97=0,"",IF(E97=F97,1,0))</f>
        <v/>
      </c>
      <c r="H97" s="20" t="n">
        <f aca="false">IF(OR(B97=0,C97="",D97=""),0,IF(OR(AND(C97&gt;=4,D97&gt;=4),AND(C97&lt;=2,D97&lt;=2)),1,0))</f>
        <v>0</v>
      </c>
      <c r="I97" s="20" t="str">
        <f aca="false">IF(B97=0,"",IF(OR(G97=1,H97=1),0,1))</f>
        <v/>
      </c>
    </row>
    <row r="98" customFormat="false" ht="15" hidden="false" customHeight="false" outlineLevel="0" collapsed="false">
      <c r="A98" s="20" t="str">
        <f aca="false">IF(COUNT('2 Import Main'!C98:DB98)=0,"",98)</f>
        <v/>
      </c>
      <c r="B98" s="20" t="n">
        <f aca="false">COUNT('2 Import Main'!C98:DB98)</f>
        <v>0</v>
      </c>
      <c r="C98" s="19" t="str">
        <f aca="false">IFERROR(AVERAGEIF('2 Import Main'!$C$3:$DB$3,"F",'2 Import Main'!C98:DB98),"")</f>
        <v/>
      </c>
      <c r="D98" s="19" t="str">
        <f aca="false">IFERROR(AVERAGEIF('2 Import Main'!$C$3:$DB$3,"R",'2 Import Main'!C98:DB98),"")</f>
        <v/>
      </c>
      <c r="E98" s="20" t="n">
        <f aca="false">IFERROR(MAX('2 Import Main'!C98:DB98),"")</f>
        <v>0</v>
      </c>
      <c r="F98" s="20" t="n">
        <f aca="false">IFERROR(MIN('2 Import Main'!C98:DB98),"")</f>
        <v>0</v>
      </c>
      <c r="G98" s="20" t="str">
        <f aca="false">IF(B98=0,"",IF(E98=F98,1,0))</f>
        <v/>
      </c>
      <c r="H98" s="20" t="n">
        <f aca="false">IF(OR(B98=0,C98="",D98=""),0,IF(OR(AND(C98&gt;=4,D98&gt;=4),AND(C98&lt;=2,D98&lt;=2)),1,0))</f>
        <v>0</v>
      </c>
      <c r="I98" s="20" t="str">
        <f aca="false">IF(B98=0,"",IF(OR(G98=1,H98=1),0,1))</f>
        <v/>
      </c>
    </row>
    <row r="99" customFormat="false" ht="15" hidden="false" customHeight="false" outlineLevel="0" collapsed="false">
      <c r="A99" s="20" t="str">
        <f aca="false">IF(COUNT('2 Import Main'!C99:DB99)=0,"",99)</f>
        <v/>
      </c>
      <c r="B99" s="20" t="n">
        <f aca="false">COUNT('2 Import Main'!C99:DB99)</f>
        <v>0</v>
      </c>
      <c r="C99" s="19" t="str">
        <f aca="false">IFERROR(AVERAGEIF('2 Import Main'!$C$3:$DB$3,"F",'2 Import Main'!C99:DB99),"")</f>
        <v/>
      </c>
      <c r="D99" s="19" t="str">
        <f aca="false">IFERROR(AVERAGEIF('2 Import Main'!$C$3:$DB$3,"R",'2 Import Main'!C99:DB99),"")</f>
        <v/>
      </c>
      <c r="E99" s="20" t="n">
        <f aca="false">IFERROR(MAX('2 Import Main'!C99:DB99),"")</f>
        <v>0</v>
      </c>
      <c r="F99" s="20" t="n">
        <f aca="false">IFERROR(MIN('2 Import Main'!C99:DB99),"")</f>
        <v>0</v>
      </c>
      <c r="G99" s="20" t="str">
        <f aca="false">IF(B99=0,"",IF(E99=F99,1,0))</f>
        <v/>
      </c>
      <c r="H99" s="20" t="n">
        <f aca="false">IF(OR(B99=0,C99="",D99=""),0,IF(OR(AND(C99&gt;=4,D99&gt;=4),AND(C99&lt;=2,D99&lt;=2)),1,0))</f>
        <v>0</v>
      </c>
      <c r="I99" s="20" t="str">
        <f aca="false">IF(B99=0,"",IF(OR(G99=1,H99=1),0,1))</f>
        <v/>
      </c>
    </row>
    <row r="100" customFormat="false" ht="15" hidden="false" customHeight="false" outlineLevel="0" collapsed="false">
      <c r="A100" s="20" t="str">
        <f aca="false">IF(COUNT('2 Import Main'!C100:DB100)=0,"",100)</f>
        <v/>
      </c>
      <c r="B100" s="20" t="n">
        <f aca="false">COUNT('2 Import Main'!C100:DB100)</f>
        <v>0</v>
      </c>
      <c r="C100" s="19" t="str">
        <f aca="false">IFERROR(AVERAGEIF('2 Import Main'!$C$3:$DB$3,"F",'2 Import Main'!C100:DB100),"")</f>
        <v/>
      </c>
      <c r="D100" s="19" t="str">
        <f aca="false">IFERROR(AVERAGEIF('2 Import Main'!$C$3:$DB$3,"R",'2 Import Main'!C100:DB100),"")</f>
        <v/>
      </c>
      <c r="E100" s="20" t="n">
        <f aca="false">IFERROR(MAX('2 Import Main'!C100:DB100),"")</f>
        <v>0</v>
      </c>
      <c r="F100" s="20" t="n">
        <f aca="false">IFERROR(MIN('2 Import Main'!C100:DB100),"")</f>
        <v>0</v>
      </c>
      <c r="G100" s="20" t="str">
        <f aca="false">IF(B100=0,"",IF(E100=F100,1,0))</f>
        <v/>
      </c>
      <c r="H100" s="20" t="n">
        <f aca="false">IF(OR(B100=0,C100="",D100=""),0,IF(OR(AND(C100&gt;=4,D100&gt;=4),AND(C100&lt;=2,D100&lt;=2)),1,0))</f>
        <v>0</v>
      </c>
      <c r="I100" s="20" t="str">
        <f aca="false">IF(B100=0,"",IF(OR(G100=1,H100=1),0,1))</f>
        <v/>
      </c>
    </row>
    <row r="101" customFormat="false" ht="15" hidden="false" customHeight="false" outlineLevel="0" collapsed="false">
      <c r="A101" s="20" t="str">
        <f aca="false">IF(COUNT('2 Import Main'!C101:DB101)=0,"",101)</f>
        <v/>
      </c>
      <c r="B101" s="20" t="n">
        <f aca="false">COUNT('2 Import Main'!C101:DB101)</f>
        <v>0</v>
      </c>
      <c r="C101" s="19" t="str">
        <f aca="false">IFERROR(AVERAGEIF('2 Import Main'!$C$3:$DB$3,"F",'2 Import Main'!C101:DB101),"")</f>
        <v/>
      </c>
      <c r="D101" s="19" t="str">
        <f aca="false">IFERROR(AVERAGEIF('2 Import Main'!$C$3:$DB$3,"R",'2 Import Main'!C101:DB101),"")</f>
        <v/>
      </c>
      <c r="E101" s="20" t="n">
        <f aca="false">IFERROR(MAX('2 Import Main'!C101:DB101),"")</f>
        <v>0</v>
      </c>
      <c r="F101" s="20" t="n">
        <f aca="false">IFERROR(MIN('2 Import Main'!C101:DB101),"")</f>
        <v>0</v>
      </c>
      <c r="G101" s="20" t="str">
        <f aca="false">IF(B101=0,"",IF(E101=F101,1,0))</f>
        <v/>
      </c>
      <c r="H101" s="20" t="n">
        <f aca="false">IF(OR(B101=0,C101="",D101=""),0,IF(OR(AND(C101&gt;=4,D101&gt;=4),AND(C101&lt;=2,D101&lt;=2)),1,0))</f>
        <v>0</v>
      </c>
      <c r="I101" s="20" t="str">
        <f aca="false">IF(B101=0,"",IF(OR(G101=1,H101=1),0,1))</f>
        <v/>
      </c>
    </row>
    <row r="102" customFormat="false" ht="15" hidden="false" customHeight="false" outlineLevel="0" collapsed="false">
      <c r="A102" s="20" t="str">
        <f aca="false">IF(COUNT('2 Import Main'!C102:DB102)=0,"",102)</f>
        <v/>
      </c>
      <c r="B102" s="20" t="n">
        <f aca="false">COUNT('2 Import Main'!C102:DB102)</f>
        <v>0</v>
      </c>
      <c r="C102" s="19" t="str">
        <f aca="false">IFERROR(AVERAGEIF('2 Import Main'!$C$3:$DB$3,"F",'2 Import Main'!C102:DB102),"")</f>
        <v/>
      </c>
      <c r="D102" s="19" t="str">
        <f aca="false">IFERROR(AVERAGEIF('2 Import Main'!$C$3:$DB$3,"R",'2 Import Main'!C102:DB102),"")</f>
        <v/>
      </c>
      <c r="E102" s="20" t="n">
        <f aca="false">IFERROR(MAX('2 Import Main'!C102:DB102),"")</f>
        <v>0</v>
      </c>
      <c r="F102" s="20" t="n">
        <f aca="false">IFERROR(MIN('2 Import Main'!C102:DB102),"")</f>
        <v>0</v>
      </c>
      <c r="G102" s="20" t="str">
        <f aca="false">IF(B102=0,"",IF(E102=F102,1,0))</f>
        <v/>
      </c>
      <c r="H102" s="20" t="n">
        <f aca="false">IF(OR(B102=0,C102="",D102=""),0,IF(OR(AND(C102&gt;=4,D102&gt;=4),AND(C102&lt;=2,D102&lt;=2)),1,0))</f>
        <v>0</v>
      </c>
      <c r="I102" s="20" t="str">
        <f aca="false">IF(B102=0,"",IF(OR(G102=1,H102=1),0,1))</f>
        <v/>
      </c>
    </row>
    <row r="103" customFormat="false" ht="15" hidden="false" customHeight="false" outlineLevel="0" collapsed="false">
      <c r="A103" s="20" t="str">
        <f aca="false">IF(COUNT('2 Import Main'!C103:DB103)=0,"",103)</f>
        <v/>
      </c>
      <c r="B103" s="20" t="n">
        <f aca="false">COUNT('2 Import Main'!C103:DB103)</f>
        <v>0</v>
      </c>
      <c r="C103" s="19" t="str">
        <f aca="false">IFERROR(AVERAGEIF('2 Import Main'!$C$3:$DB$3,"F",'2 Import Main'!C103:DB103),"")</f>
        <v/>
      </c>
      <c r="D103" s="19" t="str">
        <f aca="false">IFERROR(AVERAGEIF('2 Import Main'!$C$3:$DB$3,"R",'2 Import Main'!C103:DB103),"")</f>
        <v/>
      </c>
      <c r="E103" s="20" t="n">
        <f aca="false">IFERROR(MAX('2 Import Main'!C103:DB103),"")</f>
        <v>0</v>
      </c>
      <c r="F103" s="20" t="n">
        <f aca="false">IFERROR(MIN('2 Import Main'!C103:DB103),"")</f>
        <v>0</v>
      </c>
      <c r="G103" s="20" t="str">
        <f aca="false">IF(B103=0,"",IF(E103=F103,1,0))</f>
        <v/>
      </c>
      <c r="H103" s="20" t="n">
        <f aca="false">IF(OR(B103=0,C103="",D103=""),0,IF(OR(AND(C103&gt;=4,D103&gt;=4),AND(C103&lt;=2,D103&lt;=2)),1,0))</f>
        <v>0</v>
      </c>
      <c r="I103" s="20" t="str">
        <f aca="false">IF(B103=0,"",IF(OR(G103=1,H103=1),0,1))</f>
        <v/>
      </c>
    </row>
    <row r="104" customFormat="false" ht="15" hidden="false" customHeight="false" outlineLevel="0" collapsed="false">
      <c r="A104" s="20" t="str">
        <f aca="false">IF(COUNT('2 Import Main'!C104:DB104)=0,"",104)</f>
        <v/>
      </c>
      <c r="B104" s="20" t="n">
        <f aca="false">COUNT('2 Import Main'!C104:DB104)</f>
        <v>0</v>
      </c>
      <c r="C104" s="19" t="str">
        <f aca="false">IFERROR(AVERAGEIF('2 Import Main'!$C$3:$DB$3,"F",'2 Import Main'!C104:DB104),"")</f>
        <v/>
      </c>
      <c r="D104" s="19" t="str">
        <f aca="false">IFERROR(AVERAGEIF('2 Import Main'!$C$3:$DB$3,"R",'2 Import Main'!C104:DB104),"")</f>
        <v/>
      </c>
      <c r="E104" s="20" t="n">
        <f aca="false">IFERROR(MAX('2 Import Main'!C104:DB104),"")</f>
        <v>0</v>
      </c>
      <c r="F104" s="20" t="n">
        <f aca="false">IFERROR(MIN('2 Import Main'!C104:DB104),"")</f>
        <v>0</v>
      </c>
      <c r="G104" s="20" t="str">
        <f aca="false">IF(B104=0,"",IF(E104=F104,1,0))</f>
        <v/>
      </c>
      <c r="H104" s="20" t="n">
        <f aca="false">IF(OR(B104=0,C104="",D104=""),0,IF(OR(AND(C104&gt;=4,D104&gt;=4),AND(C104&lt;=2,D104&lt;=2)),1,0))</f>
        <v>0</v>
      </c>
      <c r="I104" s="20" t="str">
        <f aca="false">IF(B104=0,"",IF(OR(G104=1,H104=1),0,1))</f>
        <v/>
      </c>
    </row>
    <row r="105" customFormat="false" ht="15" hidden="false" customHeight="false" outlineLevel="0" collapsed="false">
      <c r="A105" s="20" t="str">
        <f aca="false">IF(COUNT('2 Import Main'!C105:DB105)=0,"",105)</f>
        <v/>
      </c>
      <c r="B105" s="20" t="n">
        <f aca="false">COUNT('2 Import Main'!C105:DB105)</f>
        <v>0</v>
      </c>
      <c r="C105" s="19" t="str">
        <f aca="false">IFERROR(AVERAGEIF('2 Import Main'!$C$3:$DB$3,"F",'2 Import Main'!C105:DB105),"")</f>
        <v/>
      </c>
      <c r="D105" s="19" t="str">
        <f aca="false">IFERROR(AVERAGEIF('2 Import Main'!$C$3:$DB$3,"R",'2 Import Main'!C105:DB105),"")</f>
        <v/>
      </c>
      <c r="E105" s="20" t="n">
        <f aca="false">IFERROR(MAX('2 Import Main'!C105:DB105),"")</f>
        <v>0</v>
      </c>
      <c r="F105" s="20" t="n">
        <f aca="false">IFERROR(MIN('2 Import Main'!C105:DB105),"")</f>
        <v>0</v>
      </c>
      <c r="G105" s="20" t="str">
        <f aca="false">IF(B105=0,"",IF(E105=F105,1,0))</f>
        <v/>
      </c>
      <c r="H105" s="20" t="n">
        <f aca="false">IF(OR(B105=0,C105="",D105=""),0,IF(OR(AND(C105&gt;=4,D105&gt;=4),AND(C105&lt;=2,D105&lt;=2)),1,0))</f>
        <v>0</v>
      </c>
      <c r="I105" s="20" t="str">
        <f aca="false">IF(B105=0,"",IF(OR(G105=1,H105=1),0,1))</f>
        <v/>
      </c>
    </row>
    <row r="106" customFormat="false" ht="15" hidden="false" customHeight="false" outlineLevel="0" collapsed="false">
      <c r="A106" s="20" t="str">
        <f aca="false">IF(COUNT('2 Import Main'!C106:DB106)=0,"",106)</f>
        <v/>
      </c>
      <c r="B106" s="20" t="n">
        <f aca="false">COUNT('2 Import Main'!C106:DB106)</f>
        <v>0</v>
      </c>
      <c r="C106" s="19" t="str">
        <f aca="false">IFERROR(AVERAGEIF('2 Import Main'!$C$3:$DB$3,"F",'2 Import Main'!C106:DB106),"")</f>
        <v/>
      </c>
      <c r="D106" s="19" t="str">
        <f aca="false">IFERROR(AVERAGEIF('2 Import Main'!$C$3:$DB$3,"R",'2 Import Main'!C106:DB106),"")</f>
        <v/>
      </c>
      <c r="E106" s="20" t="n">
        <f aca="false">IFERROR(MAX('2 Import Main'!C106:DB106),"")</f>
        <v>0</v>
      </c>
      <c r="F106" s="20" t="n">
        <f aca="false">IFERROR(MIN('2 Import Main'!C106:DB106),"")</f>
        <v>0</v>
      </c>
      <c r="G106" s="20" t="str">
        <f aca="false">IF(B106=0,"",IF(E106=F106,1,0))</f>
        <v/>
      </c>
      <c r="H106" s="20" t="n">
        <f aca="false">IF(OR(B106=0,C106="",D106=""),0,IF(OR(AND(C106&gt;=4,D106&gt;=4),AND(C106&lt;=2,D106&lt;=2)),1,0))</f>
        <v>0</v>
      </c>
      <c r="I106" s="20" t="str">
        <f aca="false">IF(B106=0,"",IF(OR(G106=1,H106=1),0,1))</f>
        <v/>
      </c>
    </row>
    <row r="107" customFormat="false" ht="15" hidden="false" customHeight="false" outlineLevel="0" collapsed="false">
      <c r="A107" s="20" t="str">
        <f aca="false">IF(COUNT('2 Import Main'!C107:DB107)=0,"",107)</f>
        <v/>
      </c>
      <c r="B107" s="20" t="n">
        <f aca="false">COUNT('2 Import Main'!C107:DB107)</f>
        <v>0</v>
      </c>
      <c r="C107" s="19" t="str">
        <f aca="false">IFERROR(AVERAGEIF('2 Import Main'!$C$3:$DB$3,"F",'2 Import Main'!C107:DB107),"")</f>
        <v/>
      </c>
      <c r="D107" s="19" t="str">
        <f aca="false">IFERROR(AVERAGEIF('2 Import Main'!$C$3:$DB$3,"R",'2 Import Main'!C107:DB107),"")</f>
        <v/>
      </c>
      <c r="E107" s="20" t="n">
        <f aca="false">IFERROR(MAX('2 Import Main'!C107:DB107),"")</f>
        <v>0</v>
      </c>
      <c r="F107" s="20" t="n">
        <f aca="false">IFERROR(MIN('2 Import Main'!C107:DB107),"")</f>
        <v>0</v>
      </c>
      <c r="G107" s="20" t="str">
        <f aca="false">IF(B107=0,"",IF(E107=F107,1,0))</f>
        <v/>
      </c>
      <c r="H107" s="20" t="n">
        <f aca="false">IF(OR(B107=0,C107="",D107=""),0,IF(OR(AND(C107&gt;=4,D107&gt;=4),AND(C107&lt;=2,D107&lt;=2)),1,0))</f>
        <v>0</v>
      </c>
      <c r="I107" s="20" t="str">
        <f aca="false">IF(B107=0,"",IF(OR(G107=1,H107=1),0,1))</f>
        <v/>
      </c>
    </row>
    <row r="108" customFormat="false" ht="15" hidden="false" customHeight="false" outlineLevel="0" collapsed="false">
      <c r="A108" s="20" t="str">
        <f aca="false">IF(COUNT('2 Import Main'!C108:DB108)=0,"",108)</f>
        <v/>
      </c>
      <c r="B108" s="20" t="n">
        <f aca="false">COUNT('2 Import Main'!C108:DB108)</f>
        <v>0</v>
      </c>
      <c r="C108" s="19" t="str">
        <f aca="false">IFERROR(AVERAGEIF('2 Import Main'!$C$3:$DB$3,"F",'2 Import Main'!C108:DB108),"")</f>
        <v/>
      </c>
      <c r="D108" s="19" t="str">
        <f aca="false">IFERROR(AVERAGEIF('2 Import Main'!$C$3:$DB$3,"R",'2 Import Main'!C108:DB108),"")</f>
        <v/>
      </c>
      <c r="E108" s="20" t="n">
        <f aca="false">IFERROR(MAX('2 Import Main'!C108:DB108),"")</f>
        <v>0</v>
      </c>
      <c r="F108" s="20" t="n">
        <f aca="false">IFERROR(MIN('2 Import Main'!C108:DB108),"")</f>
        <v>0</v>
      </c>
      <c r="G108" s="20" t="str">
        <f aca="false">IF(B108=0,"",IF(E108=F108,1,0))</f>
        <v/>
      </c>
      <c r="H108" s="20" t="n">
        <f aca="false">IF(OR(B108=0,C108="",D108=""),0,IF(OR(AND(C108&gt;=4,D108&gt;=4),AND(C108&lt;=2,D108&lt;=2)),1,0))</f>
        <v>0</v>
      </c>
      <c r="I108" s="20" t="str">
        <f aca="false">IF(B108=0,"",IF(OR(G108=1,H108=1),0,1))</f>
        <v/>
      </c>
    </row>
    <row r="109" customFormat="false" ht="15" hidden="false" customHeight="false" outlineLevel="0" collapsed="false">
      <c r="A109" s="20" t="str">
        <f aca="false">IF(COUNT('2 Import Main'!C109:DB109)=0,"",109)</f>
        <v/>
      </c>
      <c r="B109" s="20" t="n">
        <f aca="false">COUNT('2 Import Main'!C109:DB109)</f>
        <v>0</v>
      </c>
      <c r="C109" s="19" t="str">
        <f aca="false">IFERROR(AVERAGEIF('2 Import Main'!$C$3:$DB$3,"F",'2 Import Main'!C109:DB109),"")</f>
        <v/>
      </c>
      <c r="D109" s="19" t="str">
        <f aca="false">IFERROR(AVERAGEIF('2 Import Main'!$C$3:$DB$3,"R",'2 Import Main'!C109:DB109),"")</f>
        <v/>
      </c>
      <c r="E109" s="20" t="n">
        <f aca="false">IFERROR(MAX('2 Import Main'!C109:DB109),"")</f>
        <v>0</v>
      </c>
      <c r="F109" s="20" t="n">
        <f aca="false">IFERROR(MIN('2 Import Main'!C109:DB109),"")</f>
        <v>0</v>
      </c>
      <c r="G109" s="20" t="str">
        <f aca="false">IF(B109=0,"",IF(E109=F109,1,0))</f>
        <v/>
      </c>
      <c r="H109" s="20" t="n">
        <f aca="false">IF(OR(B109=0,C109="",D109=""),0,IF(OR(AND(C109&gt;=4,D109&gt;=4),AND(C109&lt;=2,D109&lt;=2)),1,0))</f>
        <v>0</v>
      </c>
      <c r="I109" s="20" t="str">
        <f aca="false">IF(B109=0,"",IF(OR(G109=1,H109=1),0,1))</f>
        <v/>
      </c>
    </row>
    <row r="110" customFormat="false" ht="15" hidden="false" customHeight="false" outlineLevel="0" collapsed="false">
      <c r="A110" s="20" t="str">
        <f aca="false">IF(COUNT('2 Import Main'!C110:DB110)=0,"",110)</f>
        <v/>
      </c>
      <c r="B110" s="20" t="n">
        <f aca="false">COUNT('2 Import Main'!C110:DB110)</f>
        <v>0</v>
      </c>
      <c r="C110" s="19" t="str">
        <f aca="false">IFERROR(AVERAGEIF('2 Import Main'!$C$3:$DB$3,"F",'2 Import Main'!C110:DB110),"")</f>
        <v/>
      </c>
      <c r="D110" s="19" t="str">
        <f aca="false">IFERROR(AVERAGEIF('2 Import Main'!$C$3:$DB$3,"R",'2 Import Main'!C110:DB110),"")</f>
        <v/>
      </c>
      <c r="E110" s="20" t="n">
        <f aca="false">IFERROR(MAX('2 Import Main'!C110:DB110),"")</f>
        <v>0</v>
      </c>
      <c r="F110" s="20" t="n">
        <f aca="false">IFERROR(MIN('2 Import Main'!C110:DB110),"")</f>
        <v>0</v>
      </c>
      <c r="G110" s="20" t="str">
        <f aca="false">IF(B110=0,"",IF(E110=F110,1,0))</f>
        <v/>
      </c>
      <c r="H110" s="20" t="n">
        <f aca="false">IF(OR(B110=0,C110="",D110=""),0,IF(OR(AND(C110&gt;=4,D110&gt;=4),AND(C110&lt;=2,D110&lt;=2)),1,0))</f>
        <v>0</v>
      </c>
      <c r="I110" s="20" t="str">
        <f aca="false">IF(B110=0,"",IF(OR(G110=1,H110=1),0,1))</f>
        <v/>
      </c>
    </row>
    <row r="111" customFormat="false" ht="15" hidden="false" customHeight="false" outlineLevel="0" collapsed="false">
      <c r="A111" s="20" t="str">
        <f aca="false">IF(COUNT('2 Import Main'!C111:DB111)=0,"",111)</f>
        <v/>
      </c>
      <c r="B111" s="20" t="n">
        <f aca="false">COUNT('2 Import Main'!C111:DB111)</f>
        <v>0</v>
      </c>
      <c r="C111" s="19" t="str">
        <f aca="false">IFERROR(AVERAGEIF('2 Import Main'!$C$3:$DB$3,"F",'2 Import Main'!C111:DB111),"")</f>
        <v/>
      </c>
      <c r="D111" s="19" t="str">
        <f aca="false">IFERROR(AVERAGEIF('2 Import Main'!$C$3:$DB$3,"R",'2 Import Main'!C111:DB111),"")</f>
        <v/>
      </c>
      <c r="E111" s="20" t="n">
        <f aca="false">IFERROR(MAX('2 Import Main'!C111:DB111),"")</f>
        <v>0</v>
      </c>
      <c r="F111" s="20" t="n">
        <f aca="false">IFERROR(MIN('2 Import Main'!C111:DB111),"")</f>
        <v>0</v>
      </c>
      <c r="G111" s="20" t="str">
        <f aca="false">IF(B111=0,"",IF(E111=F111,1,0))</f>
        <v/>
      </c>
      <c r="H111" s="20" t="n">
        <f aca="false">IF(OR(B111=0,C111="",D111=""),0,IF(OR(AND(C111&gt;=4,D111&gt;=4),AND(C111&lt;=2,D111&lt;=2)),1,0))</f>
        <v>0</v>
      </c>
      <c r="I111" s="20" t="str">
        <f aca="false">IF(B111=0,"",IF(OR(G111=1,H111=1),0,1))</f>
        <v/>
      </c>
    </row>
    <row r="112" customFormat="false" ht="15" hidden="false" customHeight="false" outlineLevel="0" collapsed="false">
      <c r="A112" s="20" t="str">
        <f aca="false">IF(COUNT('2 Import Main'!C112:DB112)=0,"",112)</f>
        <v/>
      </c>
      <c r="B112" s="20" t="n">
        <f aca="false">COUNT('2 Import Main'!C112:DB112)</f>
        <v>0</v>
      </c>
      <c r="C112" s="19" t="str">
        <f aca="false">IFERROR(AVERAGEIF('2 Import Main'!$C$3:$DB$3,"F",'2 Import Main'!C112:DB112),"")</f>
        <v/>
      </c>
      <c r="D112" s="19" t="str">
        <f aca="false">IFERROR(AVERAGEIF('2 Import Main'!$C$3:$DB$3,"R",'2 Import Main'!C112:DB112),"")</f>
        <v/>
      </c>
      <c r="E112" s="20" t="n">
        <f aca="false">IFERROR(MAX('2 Import Main'!C112:DB112),"")</f>
        <v>0</v>
      </c>
      <c r="F112" s="20" t="n">
        <f aca="false">IFERROR(MIN('2 Import Main'!C112:DB112),"")</f>
        <v>0</v>
      </c>
      <c r="G112" s="20" t="str">
        <f aca="false">IF(B112=0,"",IF(E112=F112,1,0))</f>
        <v/>
      </c>
      <c r="H112" s="20" t="n">
        <f aca="false">IF(OR(B112=0,C112="",D112=""),0,IF(OR(AND(C112&gt;=4,D112&gt;=4),AND(C112&lt;=2,D112&lt;=2)),1,0))</f>
        <v>0</v>
      </c>
      <c r="I112" s="20" t="str">
        <f aca="false">IF(B112=0,"",IF(OR(G112=1,H112=1),0,1))</f>
        <v/>
      </c>
    </row>
    <row r="113" customFormat="false" ht="15" hidden="false" customHeight="false" outlineLevel="0" collapsed="false">
      <c r="A113" s="20" t="str">
        <f aca="false">IF(COUNT('2 Import Main'!C113:DB113)=0,"",113)</f>
        <v/>
      </c>
      <c r="B113" s="20" t="n">
        <f aca="false">COUNT('2 Import Main'!C113:DB113)</f>
        <v>0</v>
      </c>
      <c r="C113" s="19" t="str">
        <f aca="false">IFERROR(AVERAGEIF('2 Import Main'!$C$3:$DB$3,"F",'2 Import Main'!C113:DB113),"")</f>
        <v/>
      </c>
      <c r="D113" s="19" t="str">
        <f aca="false">IFERROR(AVERAGEIF('2 Import Main'!$C$3:$DB$3,"R",'2 Import Main'!C113:DB113),"")</f>
        <v/>
      </c>
      <c r="E113" s="20" t="n">
        <f aca="false">IFERROR(MAX('2 Import Main'!C113:DB113),"")</f>
        <v>0</v>
      </c>
      <c r="F113" s="20" t="n">
        <f aca="false">IFERROR(MIN('2 Import Main'!C113:DB113),"")</f>
        <v>0</v>
      </c>
      <c r="G113" s="20" t="str">
        <f aca="false">IF(B113=0,"",IF(E113=F113,1,0))</f>
        <v/>
      </c>
      <c r="H113" s="20" t="n">
        <f aca="false">IF(OR(B113=0,C113="",D113=""),0,IF(OR(AND(C113&gt;=4,D113&gt;=4),AND(C113&lt;=2,D113&lt;=2)),1,0))</f>
        <v>0</v>
      </c>
      <c r="I113" s="20" t="str">
        <f aca="false">IF(B113=0,"",IF(OR(G113=1,H113=1),0,1))</f>
        <v/>
      </c>
    </row>
    <row r="114" customFormat="false" ht="15" hidden="false" customHeight="false" outlineLevel="0" collapsed="false">
      <c r="A114" s="20" t="str">
        <f aca="false">IF(COUNT('2 Import Main'!C114:DB114)=0,"",114)</f>
        <v/>
      </c>
      <c r="B114" s="20" t="n">
        <f aca="false">COUNT('2 Import Main'!C114:DB114)</f>
        <v>0</v>
      </c>
      <c r="C114" s="19" t="str">
        <f aca="false">IFERROR(AVERAGEIF('2 Import Main'!$C$3:$DB$3,"F",'2 Import Main'!C114:DB114),"")</f>
        <v/>
      </c>
      <c r="D114" s="19" t="str">
        <f aca="false">IFERROR(AVERAGEIF('2 Import Main'!$C$3:$DB$3,"R",'2 Import Main'!C114:DB114),"")</f>
        <v/>
      </c>
      <c r="E114" s="20" t="n">
        <f aca="false">IFERROR(MAX('2 Import Main'!C114:DB114),"")</f>
        <v>0</v>
      </c>
      <c r="F114" s="20" t="n">
        <f aca="false">IFERROR(MIN('2 Import Main'!C114:DB114),"")</f>
        <v>0</v>
      </c>
      <c r="G114" s="20" t="str">
        <f aca="false">IF(B114=0,"",IF(E114=F114,1,0))</f>
        <v/>
      </c>
      <c r="H114" s="20" t="n">
        <f aca="false">IF(OR(B114=0,C114="",D114=""),0,IF(OR(AND(C114&gt;=4,D114&gt;=4),AND(C114&lt;=2,D114&lt;=2)),1,0))</f>
        <v>0</v>
      </c>
      <c r="I114" s="20" t="str">
        <f aca="false">IF(B114=0,"",IF(OR(G114=1,H114=1),0,1))</f>
        <v/>
      </c>
    </row>
    <row r="115" customFormat="false" ht="15" hidden="false" customHeight="false" outlineLevel="0" collapsed="false">
      <c r="A115" s="20" t="str">
        <f aca="false">IF(COUNT('2 Import Main'!C115:DB115)=0,"",115)</f>
        <v/>
      </c>
      <c r="B115" s="20" t="n">
        <f aca="false">COUNT('2 Import Main'!C115:DB115)</f>
        <v>0</v>
      </c>
      <c r="C115" s="19" t="str">
        <f aca="false">IFERROR(AVERAGEIF('2 Import Main'!$C$3:$DB$3,"F",'2 Import Main'!C115:DB115),"")</f>
        <v/>
      </c>
      <c r="D115" s="19" t="str">
        <f aca="false">IFERROR(AVERAGEIF('2 Import Main'!$C$3:$DB$3,"R",'2 Import Main'!C115:DB115),"")</f>
        <v/>
      </c>
      <c r="E115" s="20" t="n">
        <f aca="false">IFERROR(MAX('2 Import Main'!C115:DB115),"")</f>
        <v>0</v>
      </c>
      <c r="F115" s="20" t="n">
        <f aca="false">IFERROR(MIN('2 Import Main'!C115:DB115),"")</f>
        <v>0</v>
      </c>
      <c r="G115" s="20" t="str">
        <f aca="false">IF(B115=0,"",IF(E115=F115,1,0))</f>
        <v/>
      </c>
      <c r="H115" s="20" t="n">
        <f aca="false">IF(OR(B115=0,C115="",D115=""),0,IF(OR(AND(C115&gt;=4,D115&gt;=4),AND(C115&lt;=2,D115&lt;=2)),1,0))</f>
        <v>0</v>
      </c>
      <c r="I115" s="20" t="str">
        <f aca="false">IF(B115=0,"",IF(OR(G115=1,H115=1),0,1))</f>
        <v/>
      </c>
    </row>
    <row r="116" customFormat="false" ht="15" hidden="false" customHeight="false" outlineLevel="0" collapsed="false">
      <c r="A116" s="20" t="str">
        <f aca="false">IF(COUNT('2 Import Main'!C116:DB116)=0,"",116)</f>
        <v/>
      </c>
      <c r="B116" s="20" t="n">
        <f aca="false">COUNT('2 Import Main'!C116:DB116)</f>
        <v>0</v>
      </c>
      <c r="C116" s="19" t="str">
        <f aca="false">IFERROR(AVERAGEIF('2 Import Main'!$C$3:$DB$3,"F",'2 Import Main'!C116:DB116),"")</f>
        <v/>
      </c>
      <c r="D116" s="19" t="str">
        <f aca="false">IFERROR(AVERAGEIF('2 Import Main'!$C$3:$DB$3,"R",'2 Import Main'!C116:DB116),"")</f>
        <v/>
      </c>
      <c r="E116" s="20" t="n">
        <f aca="false">IFERROR(MAX('2 Import Main'!C116:DB116),"")</f>
        <v>0</v>
      </c>
      <c r="F116" s="20" t="n">
        <f aca="false">IFERROR(MIN('2 Import Main'!C116:DB116),"")</f>
        <v>0</v>
      </c>
      <c r="G116" s="20" t="str">
        <f aca="false">IF(B116=0,"",IF(E116=F116,1,0))</f>
        <v/>
      </c>
      <c r="H116" s="20" t="n">
        <f aca="false">IF(OR(B116=0,C116="",D116=""),0,IF(OR(AND(C116&gt;=4,D116&gt;=4),AND(C116&lt;=2,D116&lt;=2)),1,0))</f>
        <v>0</v>
      </c>
      <c r="I116" s="20" t="str">
        <f aca="false">IF(B116=0,"",IF(OR(G116=1,H116=1),0,1))</f>
        <v/>
      </c>
    </row>
    <row r="117" customFormat="false" ht="15" hidden="false" customHeight="false" outlineLevel="0" collapsed="false">
      <c r="A117" s="20" t="str">
        <f aca="false">IF(COUNT('2 Import Main'!C117:DB117)=0,"",117)</f>
        <v/>
      </c>
      <c r="B117" s="20" t="n">
        <f aca="false">COUNT('2 Import Main'!C117:DB117)</f>
        <v>0</v>
      </c>
      <c r="C117" s="19" t="str">
        <f aca="false">IFERROR(AVERAGEIF('2 Import Main'!$C$3:$DB$3,"F",'2 Import Main'!C117:DB117),"")</f>
        <v/>
      </c>
      <c r="D117" s="19" t="str">
        <f aca="false">IFERROR(AVERAGEIF('2 Import Main'!$C$3:$DB$3,"R",'2 Import Main'!C117:DB117),"")</f>
        <v/>
      </c>
      <c r="E117" s="20" t="n">
        <f aca="false">IFERROR(MAX('2 Import Main'!C117:DB117),"")</f>
        <v>0</v>
      </c>
      <c r="F117" s="20" t="n">
        <f aca="false">IFERROR(MIN('2 Import Main'!C117:DB117),"")</f>
        <v>0</v>
      </c>
      <c r="G117" s="20" t="str">
        <f aca="false">IF(B117=0,"",IF(E117=F117,1,0))</f>
        <v/>
      </c>
      <c r="H117" s="20" t="n">
        <f aca="false">IF(OR(B117=0,C117="",D117=""),0,IF(OR(AND(C117&gt;=4,D117&gt;=4),AND(C117&lt;=2,D117&lt;=2)),1,0))</f>
        <v>0</v>
      </c>
      <c r="I117" s="20" t="str">
        <f aca="false">IF(B117=0,"",IF(OR(G117=1,H117=1),0,1))</f>
        <v/>
      </c>
    </row>
    <row r="118" customFormat="false" ht="15" hidden="false" customHeight="false" outlineLevel="0" collapsed="false">
      <c r="A118" s="20" t="str">
        <f aca="false">IF(COUNT('2 Import Main'!C118:DB118)=0,"",118)</f>
        <v/>
      </c>
      <c r="B118" s="20" t="n">
        <f aca="false">COUNT('2 Import Main'!C118:DB118)</f>
        <v>0</v>
      </c>
      <c r="C118" s="19" t="str">
        <f aca="false">IFERROR(AVERAGEIF('2 Import Main'!$C$3:$DB$3,"F",'2 Import Main'!C118:DB118),"")</f>
        <v/>
      </c>
      <c r="D118" s="19" t="str">
        <f aca="false">IFERROR(AVERAGEIF('2 Import Main'!$C$3:$DB$3,"R",'2 Import Main'!C118:DB118),"")</f>
        <v/>
      </c>
      <c r="E118" s="20" t="n">
        <f aca="false">IFERROR(MAX('2 Import Main'!C118:DB118),"")</f>
        <v>0</v>
      </c>
      <c r="F118" s="20" t="n">
        <f aca="false">IFERROR(MIN('2 Import Main'!C118:DB118),"")</f>
        <v>0</v>
      </c>
      <c r="G118" s="20" t="str">
        <f aca="false">IF(B118=0,"",IF(E118=F118,1,0))</f>
        <v/>
      </c>
      <c r="H118" s="20" t="n">
        <f aca="false">IF(OR(B118=0,C118="",D118=""),0,IF(OR(AND(C118&gt;=4,D118&gt;=4),AND(C118&lt;=2,D118&lt;=2)),1,0))</f>
        <v>0</v>
      </c>
      <c r="I118" s="20" t="str">
        <f aca="false">IF(B118=0,"",IF(OR(G118=1,H118=1),0,1))</f>
        <v/>
      </c>
    </row>
    <row r="119" customFormat="false" ht="15" hidden="false" customHeight="false" outlineLevel="0" collapsed="false">
      <c r="A119" s="20" t="str">
        <f aca="false">IF(COUNT('2 Import Main'!C119:DB119)=0,"",119)</f>
        <v/>
      </c>
      <c r="B119" s="20" t="n">
        <f aca="false">COUNT('2 Import Main'!C119:DB119)</f>
        <v>0</v>
      </c>
      <c r="C119" s="19" t="str">
        <f aca="false">IFERROR(AVERAGEIF('2 Import Main'!$C$3:$DB$3,"F",'2 Import Main'!C119:DB119),"")</f>
        <v/>
      </c>
      <c r="D119" s="19" t="str">
        <f aca="false">IFERROR(AVERAGEIF('2 Import Main'!$C$3:$DB$3,"R",'2 Import Main'!C119:DB119),"")</f>
        <v/>
      </c>
      <c r="E119" s="20" t="n">
        <f aca="false">IFERROR(MAX('2 Import Main'!C119:DB119),"")</f>
        <v>0</v>
      </c>
      <c r="F119" s="20" t="n">
        <f aca="false">IFERROR(MIN('2 Import Main'!C119:DB119),"")</f>
        <v>0</v>
      </c>
      <c r="G119" s="20" t="str">
        <f aca="false">IF(B119=0,"",IF(E119=F119,1,0))</f>
        <v/>
      </c>
      <c r="H119" s="20" t="n">
        <f aca="false">IF(OR(B119=0,C119="",D119=""),0,IF(OR(AND(C119&gt;=4,D119&gt;=4),AND(C119&lt;=2,D119&lt;=2)),1,0))</f>
        <v>0</v>
      </c>
      <c r="I119" s="20" t="str">
        <f aca="false">IF(B119=0,"",IF(OR(G119=1,H119=1),0,1))</f>
        <v/>
      </c>
    </row>
    <row r="120" customFormat="false" ht="15" hidden="false" customHeight="false" outlineLevel="0" collapsed="false">
      <c r="A120" s="20" t="str">
        <f aca="false">IF(COUNT('2 Import Main'!C120:DB120)=0,"",120)</f>
        <v/>
      </c>
      <c r="B120" s="20" t="n">
        <f aca="false">COUNT('2 Import Main'!C120:DB120)</f>
        <v>0</v>
      </c>
      <c r="C120" s="19" t="str">
        <f aca="false">IFERROR(AVERAGEIF('2 Import Main'!$C$3:$DB$3,"F",'2 Import Main'!C120:DB120),"")</f>
        <v/>
      </c>
      <c r="D120" s="19" t="str">
        <f aca="false">IFERROR(AVERAGEIF('2 Import Main'!$C$3:$DB$3,"R",'2 Import Main'!C120:DB120),"")</f>
        <v/>
      </c>
      <c r="E120" s="20" t="n">
        <f aca="false">IFERROR(MAX('2 Import Main'!C120:DB120),"")</f>
        <v>0</v>
      </c>
      <c r="F120" s="20" t="n">
        <f aca="false">IFERROR(MIN('2 Import Main'!C120:DB120),"")</f>
        <v>0</v>
      </c>
      <c r="G120" s="20" t="str">
        <f aca="false">IF(B120=0,"",IF(E120=F120,1,0))</f>
        <v/>
      </c>
      <c r="H120" s="20" t="n">
        <f aca="false">IF(OR(B120=0,C120="",D120=""),0,IF(OR(AND(C120&gt;=4,D120&gt;=4),AND(C120&lt;=2,D120&lt;=2)),1,0))</f>
        <v>0</v>
      </c>
      <c r="I120" s="20" t="str">
        <f aca="false">IF(B120=0,"",IF(OR(G120=1,H120=1),0,1))</f>
        <v/>
      </c>
    </row>
    <row r="121" customFormat="false" ht="15" hidden="false" customHeight="false" outlineLevel="0" collapsed="false">
      <c r="A121" s="20" t="str">
        <f aca="false">IF(COUNT('2 Import Main'!C121:DB121)=0,"",121)</f>
        <v/>
      </c>
      <c r="B121" s="20" t="n">
        <f aca="false">COUNT('2 Import Main'!C121:DB121)</f>
        <v>0</v>
      </c>
      <c r="C121" s="19" t="str">
        <f aca="false">IFERROR(AVERAGEIF('2 Import Main'!$C$3:$DB$3,"F",'2 Import Main'!C121:DB121),"")</f>
        <v/>
      </c>
      <c r="D121" s="19" t="str">
        <f aca="false">IFERROR(AVERAGEIF('2 Import Main'!$C$3:$DB$3,"R",'2 Import Main'!C121:DB121),"")</f>
        <v/>
      </c>
      <c r="E121" s="20" t="n">
        <f aca="false">IFERROR(MAX('2 Import Main'!C121:DB121),"")</f>
        <v>0</v>
      </c>
      <c r="F121" s="20" t="n">
        <f aca="false">IFERROR(MIN('2 Import Main'!C121:DB121),"")</f>
        <v>0</v>
      </c>
      <c r="G121" s="20" t="str">
        <f aca="false">IF(B121=0,"",IF(E121=F121,1,0))</f>
        <v/>
      </c>
      <c r="H121" s="20" t="n">
        <f aca="false">IF(OR(B121=0,C121="",D121=""),0,IF(OR(AND(C121&gt;=4,D121&gt;=4),AND(C121&lt;=2,D121&lt;=2)),1,0))</f>
        <v>0</v>
      </c>
      <c r="I121" s="20" t="str">
        <f aca="false">IF(B121=0,"",IF(OR(G121=1,H121=1),0,1))</f>
        <v/>
      </c>
    </row>
    <row r="122" customFormat="false" ht="15" hidden="false" customHeight="false" outlineLevel="0" collapsed="false">
      <c r="A122" s="20" t="str">
        <f aca="false">IF(COUNT('2 Import Main'!C122:DB122)=0,"",122)</f>
        <v/>
      </c>
      <c r="B122" s="20" t="n">
        <f aca="false">COUNT('2 Import Main'!C122:DB122)</f>
        <v>0</v>
      </c>
      <c r="C122" s="19" t="str">
        <f aca="false">IFERROR(AVERAGEIF('2 Import Main'!$C$3:$DB$3,"F",'2 Import Main'!C122:DB122),"")</f>
        <v/>
      </c>
      <c r="D122" s="19" t="str">
        <f aca="false">IFERROR(AVERAGEIF('2 Import Main'!$C$3:$DB$3,"R",'2 Import Main'!C122:DB122),"")</f>
        <v/>
      </c>
      <c r="E122" s="20" t="n">
        <f aca="false">IFERROR(MAX('2 Import Main'!C122:DB122),"")</f>
        <v>0</v>
      </c>
      <c r="F122" s="20" t="n">
        <f aca="false">IFERROR(MIN('2 Import Main'!C122:DB122),"")</f>
        <v>0</v>
      </c>
      <c r="G122" s="20" t="str">
        <f aca="false">IF(B122=0,"",IF(E122=F122,1,0))</f>
        <v/>
      </c>
      <c r="H122" s="20" t="n">
        <f aca="false">IF(OR(B122=0,C122="",D122=""),0,IF(OR(AND(C122&gt;=4,D122&gt;=4),AND(C122&lt;=2,D122&lt;=2)),1,0))</f>
        <v>0</v>
      </c>
      <c r="I122" s="20" t="str">
        <f aca="false">IF(B122=0,"",IF(OR(G122=1,H122=1),0,1))</f>
        <v/>
      </c>
    </row>
    <row r="123" customFormat="false" ht="15" hidden="false" customHeight="false" outlineLevel="0" collapsed="false">
      <c r="A123" s="20" t="str">
        <f aca="false">IF(COUNT('2 Import Main'!C123:DB123)=0,"",123)</f>
        <v/>
      </c>
      <c r="B123" s="20" t="n">
        <f aca="false">COUNT('2 Import Main'!C123:DB123)</f>
        <v>0</v>
      </c>
      <c r="C123" s="19" t="str">
        <f aca="false">IFERROR(AVERAGEIF('2 Import Main'!$C$3:$DB$3,"F",'2 Import Main'!C123:DB123),"")</f>
        <v/>
      </c>
      <c r="D123" s="19" t="str">
        <f aca="false">IFERROR(AVERAGEIF('2 Import Main'!$C$3:$DB$3,"R",'2 Import Main'!C123:DB123),"")</f>
        <v/>
      </c>
      <c r="E123" s="20" t="n">
        <f aca="false">IFERROR(MAX('2 Import Main'!C123:DB123),"")</f>
        <v>0</v>
      </c>
      <c r="F123" s="20" t="n">
        <f aca="false">IFERROR(MIN('2 Import Main'!C123:DB123),"")</f>
        <v>0</v>
      </c>
      <c r="G123" s="20" t="str">
        <f aca="false">IF(B123=0,"",IF(E123=F123,1,0))</f>
        <v/>
      </c>
      <c r="H123" s="20" t="n">
        <f aca="false">IF(OR(B123=0,C123="",D123=""),0,IF(OR(AND(C123&gt;=4,D123&gt;=4),AND(C123&lt;=2,D123&lt;=2)),1,0))</f>
        <v>0</v>
      </c>
      <c r="I123" s="20" t="str">
        <f aca="false">IF(B123=0,"",IF(OR(G123=1,H123=1),0,1))</f>
        <v/>
      </c>
    </row>
    <row r="124" customFormat="false" ht="15" hidden="false" customHeight="false" outlineLevel="0" collapsed="false">
      <c r="A124" s="20" t="str">
        <f aca="false">IF(COUNT('2 Import Main'!C124:DB124)=0,"",124)</f>
        <v/>
      </c>
      <c r="B124" s="20" t="n">
        <f aca="false">COUNT('2 Import Main'!C124:DB124)</f>
        <v>0</v>
      </c>
      <c r="C124" s="19" t="str">
        <f aca="false">IFERROR(AVERAGEIF('2 Import Main'!$C$3:$DB$3,"F",'2 Import Main'!C124:DB124),"")</f>
        <v/>
      </c>
      <c r="D124" s="19" t="str">
        <f aca="false">IFERROR(AVERAGEIF('2 Import Main'!$C$3:$DB$3,"R",'2 Import Main'!C124:DB124),"")</f>
        <v/>
      </c>
      <c r="E124" s="20" t="n">
        <f aca="false">IFERROR(MAX('2 Import Main'!C124:DB124),"")</f>
        <v>0</v>
      </c>
      <c r="F124" s="20" t="n">
        <f aca="false">IFERROR(MIN('2 Import Main'!C124:DB124),"")</f>
        <v>0</v>
      </c>
      <c r="G124" s="20" t="str">
        <f aca="false">IF(B124=0,"",IF(E124=F124,1,0))</f>
        <v/>
      </c>
      <c r="H124" s="20" t="n">
        <f aca="false">IF(OR(B124=0,C124="",D124=""),0,IF(OR(AND(C124&gt;=4,D124&gt;=4),AND(C124&lt;=2,D124&lt;=2)),1,0))</f>
        <v>0</v>
      </c>
      <c r="I124" s="20" t="str">
        <f aca="false">IF(B124=0,"",IF(OR(G124=1,H124=1),0,1))</f>
        <v/>
      </c>
    </row>
    <row r="125" customFormat="false" ht="15" hidden="false" customHeight="false" outlineLevel="0" collapsed="false">
      <c r="A125" s="20" t="str">
        <f aca="false">IF(COUNT('2 Import Main'!C125:DB125)=0,"",125)</f>
        <v/>
      </c>
      <c r="B125" s="20" t="n">
        <f aca="false">COUNT('2 Import Main'!C125:DB125)</f>
        <v>0</v>
      </c>
      <c r="C125" s="19" t="str">
        <f aca="false">IFERROR(AVERAGEIF('2 Import Main'!$C$3:$DB$3,"F",'2 Import Main'!C125:DB125),"")</f>
        <v/>
      </c>
      <c r="D125" s="19" t="str">
        <f aca="false">IFERROR(AVERAGEIF('2 Import Main'!$C$3:$DB$3,"R",'2 Import Main'!C125:DB125),"")</f>
        <v/>
      </c>
      <c r="E125" s="20" t="n">
        <f aca="false">IFERROR(MAX('2 Import Main'!C125:DB125),"")</f>
        <v>0</v>
      </c>
      <c r="F125" s="20" t="n">
        <f aca="false">IFERROR(MIN('2 Import Main'!C125:DB125),"")</f>
        <v>0</v>
      </c>
      <c r="G125" s="20" t="str">
        <f aca="false">IF(B125=0,"",IF(E125=F125,1,0))</f>
        <v/>
      </c>
      <c r="H125" s="20" t="n">
        <f aca="false">IF(OR(B125=0,C125="",D125=""),0,IF(OR(AND(C125&gt;=4,D125&gt;=4),AND(C125&lt;=2,D125&lt;=2)),1,0))</f>
        <v>0</v>
      </c>
      <c r="I125" s="20" t="str">
        <f aca="false">IF(B125=0,"",IF(OR(G125=1,H125=1),0,1))</f>
        <v/>
      </c>
    </row>
    <row r="126" customFormat="false" ht="15" hidden="false" customHeight="false" outlineLevel="0" collapsed="false">
      <c r="A126" s="20" t="str">
        <f aca="false">IF(COUNT('2 Import Main'!C126:DB126)=0,"",126)</f>
        <v/>
      </c>
      <c r="B126" s="20" t="n">
        <f aca="false">COUNT('2 Import Main'!C126:DB126)</f>
        <v>0</v>
      </c>
      <c r="C126" s="19" t="str">
        <f aca="false">IFERROR(AVERAGEIF('2 Import Main'!$C$3:$DB$3,"F",'2 Import Main'!C126:DB126),"")</f>
        <v/>
      </c>
      <c r="D126" s="19" t="str">
        <f aca="false">IFERROR(AVERAGEIF('2 Import Main'!$C$3:$DB$3,"R",'2 Import Main'!C126:DB126),"")</f>
        <v/>
      </c>
      <c r="E126" s="20" t="n">
        <f aca="false">IFERROR(MAX('2 Import Main'!C126:DB126),"")</f>
        <v>0</v>
      </c>
      <c r="F126" s="20" t="n">
        <f aca="false">IFERROR(MIN('2 Import Main'!C126:DB126),"")</f>
        <v>0</v>
      </c>
      <c r="G126" s="20" t="str">
        <f aca="false">IF(B126=0,"",IF(E126=F126,1,0))</f>
        <v/>
      </c>
      <c r="H126" s="20" t="n">
        <f aca="false">IF(OR(B126=0,C126="",D126=""),0,IF(OR(AND(C126&gt;=4,D126&gt;=4),AND(C126&lt;=2,D126&lt;=2)),1,0))</f>
        <v>0</v>
      </c>
      <c r="I126" s="20" t="str">
        <f aca="false">IF(B126=0,"",IF(OR(G126=1,H126=1),0,1))</f>
        <v/>
      </c>
    </row>
    <row r="127" customFormat="false" ht="15" hidden="false" customHeight="false" outlineLevel="0" collapsed="false">
      <c r="A127" s="20" t="str">
        <f aca="false">IF(COUNT('2 Import Main'!C127:DB127)=0,"",127)</f>
        <v/>
      </c>
      <c r="B127" s="20" t="n">
        <f aca="false">COUNT('2 Import Main'!C127:DB127)</f>
        <v>0</v>
      </c>
      <c r="C127" s="19" t="str">
        <f aca="false">IFERROR(AVERAGEIF('2 Import Main'!$C$3:$DB$3,"F",'2 Import Main'!C127:DB127),"")</f>
        <v/>
      </c>
      <c r="D127" s="19" t="str">
        <f aca="false">IFERROR(AVERAGEIF('2 Import Main'!$C$3:$DB$3,"R",'2 Import Main'!C127:DB127),"")</f>
        <v/>
      </c>
      <c r="E127" s="20" t="n">
        <f aca="false">IFERROR(MAX('2 Import Main'!C127:DB127),"")</f>
        <v>0</v>
      </c>
      <c r="F127" s="20" t="n">
        <f aca="false">IFERROR(MIN('2 Import Main'!C127:DB127),"")</f>
        <v>0</v>
      </c>
      <c r="G127" s="20" t="str">
        <f aca="false">IF(B127=0,"",IF(E127=F127,1,0))</f>
        <v/>
      </c>
      <c r="H127" s="20" t="n">
        <f aca="false">IF(OR(B127=0,C127="",D127=""),0,IF(OR(AND(C127&gt;=4,D127&gt;=4),AND(C127&lt;=2,D127&lt;=2)),1,0))</f>
        <v>0</v>
      </c>
      <c r="I127" s="20" t="str">
        <f aca="false">IF(B127=0,"",IF(OR(G127=1,H127=1),0,1))</f>
        <v/>
      </c>
    </row>
    <row r="128" customFormat="false" ht="15" hidden="false" customHeight="false" outlineLevel="0" collapsed="false">
      <c r="A128" s="20" t="str">
        <f aca="false">IF(COUNT('2 Import Main'!C128:DB128)=0,"",128)</f>
        <v/>
      </c>
      <c r="B128" s="20" t="n">
        <f aca="false">COUNT('2 Import Main'!C128:DB128)</f>
        <v>0</v>
      </c>
      <c r="C128" s="19" t="str">
        <f aca="false">IFERROR(AVERAGEIF('2 Import Main'!$C$3:$DB$3,"F",'2 Import Main'!C128:DB128),"")</f>
        <v/>
      </c>
      <c r="D128" s="19" t="str">
        <f aca="false">IFERROR(AVERAGEIF('2 Import Main'!$C$3:$DB$3,"R",'2 Import Main'!C128:DB128),"")</f>
        <v/>
      </c>
      <c r="E128" s="20" t="n">
        <f aca="false">IFERROR(MAX('2 Import Main'!C128:DB128),"")</f>
        <v>0</v>
      </c>
      <c r="F128" s="20" t="n">
        <f aca="false">IFERROR(MIN('2 Import Main'!C128:DB128),"")</f>
        <v>0</v>
      </c>
      <c r="G128" s="20" t="str">
        <f aca="false">IF(B128=0,"",IF(E128=F128,1,0))</f>
        <v/>
      </c>
      <c r="H128" s="20" t="n">
        <f aca="false">IF(OR(B128=0,C128="",D128=""),0,IF(OR(AND(C128&gt;=4,D128&gt;=4),AND(C128&lt;=2,D128&lt;=2)),1,0))</f>
        <v>0</v>
      </c>
      <c r="I128" s="20" t="str">
        <f aca="false">IF(B128=0,"",IF(OR(G128=1,H128=1),0,1))</f>
        <v/>
      </c>
    </row>
    <row r="129" customFormat="false" ht="15" hidden="false" customHeight="false" outlineLevel="0" collapsed="false">
      <c r="A129" s="20" t="str">
        <f aca="false">IF(COUNT('2 Import Main'!C129:DB129)=0,"",129)</f>
        <v/>
      </c>
      <c r="B129" s="20" t="n">
        <f aca="false">COUNT('2 Import Main'!C129:DB129)</f>
        <v>0</v>
      </c>
      <c r="C129" s="19" t="str">
        <f aca="false">IFERROR(AVERAGEIF('2 Import Main'!$C$3:$DB$3,"F",'2 Import Main'!C129:DB129),"")</f>
        <v/>
      </c>
      <c r="D129" s="19" t="str">
        <f aca="false">IFERROR(AVERAGEIF('2 Import Main'!$C$3:$DB$3,"R",'2 Import Main'!C129:DB129),"")</f>
        <v/>
      </c>
      <c r="E129" s="20" t="n">
        <f aca="false">IFERROR(MAX('2 Import Main'!C129:DB129),"")</f>
        <v>0</v>
      </c>
      <c r="F129" s="20" t="n">
        <f aca="false">IFERROR(MIN('2 Import Main'!C129:DB129),"")</f>
        <v>0</v>
      </c>
      <c r="G129" s="20" t="str">
        <f aca="false">IF(B129=0,"",IF(E129=F129,1,0))</f>
        <v/>
      </c>
      <c r="H129" s="20" t="n">
        <f aca="false">IF(OR(B129=0,C129="",D129=""),0,IF(OR(AND(C129&gt;=4,D129&gt;=4),AND(C129&lt;=2,D129&lt;=2)),1,0))</f>
        <v>0</v>
      </c>
      <c r="I129" s="20" t="str">
        <f aca="false">IF(B129=0,"",IF(OR(G129=1,H129=1),0,1))</f>
        <v/>
      </c>
    </row>
    <row r="130" customFormat="false" ht="15" hidden="false" customHeight="false" outlineLevel="0" collapsed="false">
      <c r="A130" s="20" t="str">
        <f aca="false">IF(COUNT('2 Import Main'!C130:DB130)=0,"",130)</f>
        <v/>
      </c>
      <c r="B130" s="20" t="n">
        <f aca="false">COUNT('2 Import Main'!C130:DB130)</f>
        <v>0</v>
      </c>
      <c r="C130" s="19" t="str">
        <f aca="false">IFERROR(AVERAGEIF('2 Import Main'!$C$3:$DB$3,"F",'2 Import Main'!C130:DB130),"")</f>
        <v/>
      </c>
      <c r="D130" s="19" t="str">
        <f aca="false">IFERROR(AVERAGEIF('2 Import Main'!$C$3:$DB$3,"R",'2 Import Main'!C130:DB130),"")</f>
        <v/>
      </c>
      <c r="E130" s="20" t="n">
        <f aca="false">IFERROR(MAX('2 Import Main'!C130:DB130),"")</f>
        <v>0</v>
      </c>
      <c r="F130" s="20" t="n">
        <f aca="false">IFERROR(MIN('2 Import Main'!C130:DB130),"")</f>
        <v>0</v>
      </c>
      <c r="G130" s="20" t="str">
        <f aca="false">IF(B130=0,"",IF(E130=F130,1,0))</f>
        <v/>
      </c>
      <c r="H130" s="20" t="n">
        <f aca="false">IF(OR(B130=0,C130="",D130=""),0,IF(OR(AND(C130&gt;=4,D130&gt;=4),AND(C130&lt;=2,D130&lt;=2)),1,0))</f>
        <v>0</v>
      </c>
      <c r="I130" s="20" t="str">
        <f aca="false">IF(B130=0,"",IF(OR(G130=1,H130=1),0,1))</f>
        <v/>
      </c>
    </row>
    <row r="131" customFormat="false" ht="15" hidden="false" customHeight="false" outlineLevel="0" collapsed="false">
      <c r="A131" s="20" t="str">
        <f aca="false">IF(COUNT('2 Import Main'!C131:DB131)=0,"",131)</f>
        <v/>
      </c>
      <c r="B131" s="20" t="n">
        <f aca="false">COUNT('2 Import Main'!C131:DB131)</f>
        <v>0</v>
      </c>
      <c r="C131" s="19" t="str">
        <f aca="false">IFERROR(AVERAGEIF('2 Import Main'!$C$3:$DB$3,"F",'2 Import Main'!C131:DB131),"")</f>
        <v/>
      </c>
      <c r="D131" s="19" t="str">
        <f aca="false">IFERROR(AVERAGEIF('2 Import Main'!$C$3:$DB$3,"R",'2 Import Main'!C131:DB131),"")</f>
        <v/>
      </c>
      <c r="E131" s="20" t="n">
        <f aca="false">IFERROR(MAX('2 Import Main'!C131:DB131),"")</f>
        <v>0</v>
      </c>
      <c r="F131" s="20" t="n">
        <f aca="false">IFERROR(MIN('2 Import Main'!C131:DB131),"")</f>
        <v>0</v>
      </c>
      <c r="G131" s="20" t="str">
        <f aca="false">IF(B131=0,"",IF(E131=F131,1,0))</f>
        <v/>
      </c>
      <c r="H131" s="20" t="n">
        <f aca="false">IF(OR(B131=0,C131="",D131=""),0,IF(OR(AND(C131&gt;=4,D131&gt;=4),AND(C131&lt;=2,D131&lt;=2)),1,0))</f>
        <v>0</v>
      </c>
      <c r="I131" s="20" t="str">
        <f aca="false">IF(B131=0,"",IF(OR(G131=1,H131=1),0,1))</f>
        <v/>
      </c>
    </row>
    <row r="132" customFormat="false" ht="15" hidden="false" customHeight="false" outlineLevel="0" collapsed="false">
      <c r="A132" s="20" t="str">
        <f aca="false">IF(COUNT('2 Import Main'!C132:DB132)=0,"",132)</f>
        <v/>
      </c>
      <c r="B132" s="20" t="n">
        <f aca="false">COUNT('2 Import Main'!C132:DB132)</f>
        <v>0</v>
      </c>
      <c r="C132" s="19" t="str">
        <f aca="false">IFERROR(AVERAGEIF('2 Import Main'!$C$3:$DB$3,"F",'2 Import Main'!C132:DB132),"")</f>
        <v/>
      </c>
      <c r="D132" s="19" t="str">
        <f aca="false">IFERROR(AVERAGEIF('2 Import Main'!$C$3:$DB$3,"R",'2 Import Main'!C132:DB132),"")</f>
        <v/>
      </c>
      <c r="E132" s="20" t="n">
        <f aca="false">IFERROR(MAX('2 Import Main'!C132:DB132),"")</f>
        <v>0</v>
      </c>
      <c r="F132" s="20" t="n">
        <f aca="false">IFERROR(MIN('2 Import Main'!C132:DB132),"")</f>
        <v>0</v>
      </c>
      <c r="G132" s="20" t="str">
        <f aca="false">IF(B132=0,"",IF(E132=F132,1,0))</f>
        <v/>
      </c>
      <c r="H132" s="20" t="n">
        <f aca="false">IF(OR(B132=0,C132="",D132=""),0,IF(OR(AND(C132&gt;=4,D132&gt;=4),AND(C132&lt;=2,D132&lt;=2)),1,0))</f>
        <v>0</v>
      </c>
      <c r="I132" s="20" t="str">
        <f aca="false">IF(B132=0,"",IF(OR(G132=1,H132=1),0,1))</f>
        <v/>
      </c>
    </row>
    <row r="133" customFormat="false" ht="15" hidden="false" customHeight="false" outlineLevel="0" collapsed="false">
      <c r="A133" s="20" t="str">
        <f aca="false">IF(COUNT('2 Import Main'!C133:DB133)=0,"",133)</f>
        <v/>
      </c>
      <c r="B133" s="20" t="n">
        <f aca="false">COUNT('2 Import Main'!C133:DB133)</f>
        <v>0</v>
      </c>
      <c r="C133" s="19" t="str">
        <f aca="false">IFERROR(AVERAGEIF('2 Import Main'!$C$3:$DB$3,"F",'2 Import Main'!C133:DB133),"")</f>
        <v/>
      </c>
      <c r="D133" s="19" t="str">
        <f aca="false">IFERROR(AVERAGEIF('2 Import Main'!$C$3:$DB$3,"R",'2 Import Main'!C133:DB133),"")</f>
        <v/>
      </c>
      <c r="E133" s="20" t="n">
        <f aca="false">IFERROR(MAX('2 Import Main'!C133:DB133),"")</f>
        <v>0</v>
      </c>
      <c r="F133" s="20" t="n">
        <f aca="false">IFERROR(MIN('2 Import Main'!C133:DB133),"")</f>
        <v>0</v>
      </c>
      <c r="G133" s="20" t="str">
        <f aca="false">IF(B133=0,"",IF(E133=F133,1,0))</f>
        <v/>
      </c>
      <c r="H133" s="20" t="n">
        <f aca="false">IF(OR(B133=0,C133="",D133=""),0,IF(OR(AND(C133&gt;=4,D133&gt;=4),AND(C133&lt;=2,D133&lt;=2)),1,0))</f>
        <v>0</v>
      </c>
      <c r="I133" s="20" t="str">
        <f aca="false">IF(B133=0,"",IF(OR(G133=1,H133=1),0,1))</f>
        <v/>
      </c>
    </row>
    <row r="134" customFormat="false" ht="15" hidden="false" customHeight="false" outlineLevel="0" collapsed="false">
      <c r="A134" s="20" t="str">
        <f aca="false">IF(COUNT('2 Import Main'!C134:DB134)=0,"",134)</f>
        <v/>
      </c>
      <c r="B134" s="20" t="n">
        <f aca="false">COUNT('2 Import Main'!C134:DB134)</f>
        <v>0</v>
      </c>
      <c r="C134" s="19" t="str">
        <f aca="false">IFERROR(AVERAGEIF('2 Import Main'!$C$3:$DB$3,"F",'2 Import Main'!C134:DB134),"")</f>
        <v/>
      </c>
      <c r="D134" s="19" t="str">
        <f aca="false">IFERROR(AVERAGEIF('2 Import Main'!$C$3:$DB$3,"R",'2 Import Main'!C134:DB134),"")</f>
        <v/>
      </c>
      <c r="E134" s="20" t="n">
        <f aca="false">IFERROR(MAX('2 Import Main'!C134:DB134),"")</f>
        <v>0</v>
      </c>
      <c r="F134" s="20" t="n">
        <f aca="false">IFERROR(MIN('2 Import Main'!C134:DB134),"")</f>
        <v>0</v>
      </c>
      <c r="G134" s="20" t="str">
        <f aca="false">IF(B134=0,"",IF(E134=F134,1,0))</f>
        <v/>
      </c>
      <c r="H134" s="20" t="n">
        <f aca="false">IF(OR(B134=0,C134="",D134=""),0,IF(OR(AND(C134&gt;=4,D134&gt;=4),AND(C134&lt;=2,D134&lt;=2)),1,0))</f>
        <v>0</v>
      </c>
      <c r="I134" s="20" t="str">
        <f aca="false">IF(B134=0,"",IF(OR(G134=1,H134=1),0,1))</f>
        <v/>
      </c>
    </row>
    <row r="135" customFormat="false" ht="15" hidden="false" customHeight="false" outlineLevel="0" collapsed="false">
      <c r="A135" s="20" t="str">
        <f aca="false">IF(COUNT('2 Import Main'!C135:DB135)=0,"",135)</f>
        <v/>
      </c>
      <c r="B135" s="20" t="n">
        <f aca="false">COUNT('2 Import Main'!C135:DB135)</f>
        <v>0</v>
      </c>
      <c r="C135" s="19" t="str">
        <f aca="false">IFERROR(AVERAGEIF('2 Import Main'!$C$3:$DB$3,"F",'2 Import Main'!C135:DB135),"")</f>
        <v/>
      </c>
      <c r="D135" s="19" t="str">
        <f aca="false">IFERROR(AVERAGEIF('2 Import Main'!$C$3:$DB$3,"R",'2 Import Main'!C135:DB135),"")</f>
        <v/>
      </c>
      <c r="E135" s="20" t="n">
        <f aca="false">IFERROR(MAX('2 Import Main'!C135:DB135),"")</f>
        <v>0</v>
      </c>
      <c r="F135" s="20" t="n">
        <f aca="false">IFERROR(MIN('2 Import Main'!C135:DB135),"")</f>
        <v>0</v>
      </c>
      <c r="G135" s="20" t="str">
        <f aca="false">IF(B135=0,"",IF(E135=F135,1,0))</f>
        <v/>
      </c>
      <c r="H135" s="20" t="n">
        <f aca="false">IF(OR(B135=0,C135="",D135=""),0,IF(OR(AND(C135&gt;=4,D135&gt;=4),AND(C135&lt;=2,D135&lt;=2)),1,0))</f>
        <v>0</v>
      </c>
      <c r="I135" s="20" t="str">
        <f aca="false">IF(B135=0,"",IF(OR(G135=1,H135=1),0,1))</f>
        <v/>
      </c>
    </row>
    <row r="136" customFormat="false" ht="15" hidden="false" customHeight="false" outlineLevel="0" collapsed="false">
      <c r="A136" s="20" t="str">
        <f aca="false">IF(COUNT('2 Import Main'!C136:DB136)=0,"",136)</f>
        <v/>
      </c>
      <c r="B136" s="20" t="n">
        <f aca="false">COUNT('2 Import Main'!C136:DB136)</f>
        <v>0</v>
      </c>
      <c r="C136" s="19" t="str">
        <f aca="false">IFERROR(AVERAGEIF('2 Import Main'!$C$3:$DB$3,"F",'2 Import Main'!C136:DB136),"")</f>
        <v/>
      </c>
      <c r="D136" s="19" t="str">
        <f aca="false">IFERROR(AVERAGEIF('2 Import Main'!$C$3:$DB$3,"R",'2 Import Main'!C136:DB136),"")</f>
        <v/>
      </c>
      <c r="E136" s="20" t="n">
        <f aca="false">IFERROR(MAX('2 Import Main'!C136:DB136),"")</f>
        <v>0</v>
      </c>
      <c r="F136" s="20" t="n">
        <f aca="false">IFERROR(MIN('2 Import Main'!C136:DB136),"")</f>
        <v>0</v>
      </c>
      <c r="G136" s="20" t="str">
        <f aca="false">IF(B136=0,"",IF(E136=F136,1,0))</f>
        <v/>
      </c>
      <c r="H136" s="20" t="n">
        <f aca="false">IF(OR(B136=0,C136="",D136=""),0,IF(OR(AND(C136&gt;=4,D136&gt;=4),AND(C136&lt;=2,D136&lt;=2)),1,0))</f>
        <v>0</v>
      </c>
      <c r="I136" s="20" t="str">
        <f aca="false">IF(B136=0,"",IF(OR(G136=1,H136=1),0,1))</f>
        <v/>
      </c>
    </row>
    <row r="137" customFormat="false" ht="15" hidden="false" customHeight="false" outlineLevel="0" collapsed="false">
      <c r="A137" s="20" t="str">
        <f aca="false">IF(COUNT('2 Import Main'!C137:DB137)=0,"",137)</f>
        <v/>
      </c>
      <c r="B137" s="20" t="n">
        <f aca="false">COUNT('2 Import Main'!C137:DB137)</f>
        <v>0</v>
      </c>
      <c r="C137" s="19" t="str">
        <f aca="false">IFERROR(AVERAGEIF('2 Import Main'!$C$3:$DB$3,"F",'2 Import Main'!C137:DB137),"")</f>
        <v/>
      </c>
      <c r="D137" s="19" t="str">
        <f aca="false">IFERROR(AVERAGEIF('2 Import Main'!$C$3:$DB$3,"R",'2 Import Main'!C137:DB137),"")</f>
        <v/>
      </c>
      <c r="E137" s="20" t="n">
        <f aca="false">IFERROR(MAX('2 Import Main'!C137:DB137),"")</f>
        <v>0</v>
      </c>
      <c r="F137" s="20" t="n">
        <f aca="false">IFERROR(MIN('2 Import Main'!C137:DB137),"")</f>
        <v>0</v>
      </c>
      <c r="G137" s="20" t="str">
        <f aca="false">IF(B137=0,"",IF(E137=F137,1,0))</f>
        <v/>
      </c>
      <c r="H137" s="20" t="n">
        <f aca="false">IF(OR(B137=0,C137="",D137=""),0,IF(OR(AND(C137&gt;=4,D137&gt;=4),AND(C137&lt;=2,D137&lt;=2)),1,0))</f>
        <v>0</v>
      </c>
      <c r="I137" s="20" t="str">
        <f aca="false">IF(B137=0,"",IF(OR(G137=1,H137=1),0,1))</f>
        <v/>
      </c>
    </row>
    <row r="138" customFormat="false" ht="15" hidden="false" customHeight="false" outlineLevel="0" collapsed="false">
      <c r="A138" s="20" t="str">
        <f aca="false">IF(COUNT('2 Import Main'!C138:DB138)=0,"",138)</f>
        <v/>
      </c>
      <c r="B138" s="20" t="n">
        <f aca="false">COUNT('2 Import Main'!C138:DB138)</f>
        <v>0</v>
      </c>
      <c r="C138" s="19" t="str">
        <f aca="false">IFERROR(AVERAGEIF('2 Import Main'!$C$3:$DB$3,"F",'2 Import Main'!C138:DB138),"")</f>
        <v/>
      </c>
      <c r="D138" s="19" t="str">
        <f aca="false">IFERROR(AVERAGEIF('2 Import Main'!$C$3:$DB$3,"R",'2 Import Main'!C138:DB138),"")</f>
        <v/>
      </c>
      <c r="E138" s="20" t="n">
        <f aca="false">IFERROR(MAX('2 Import Main'!C138:DB138),"")</f>
        <v>0</v>
      </c>
      <c r="F138" s="20" t="n">
        <f aca="false">IFERROR(MIN('2 Import Main'!C138:DB138),"")</f>
        <v>0</v>
      </c>
      <c r="G138" s="20" t="str">
        <f aca="false">IF(B138=0,"",IF(E138=F138,1,0))</f>
        <v/>
      </c>
      <c r="H138" s="20" t="n">
        <f aca="false">IF(OR(B138=0,C138="",D138=""),0,IF(OR(AND(C138&gt;=4,D138&gt;=4),AND(C138&lt;=2,D138&lt;=2)),1,0))</f>
        <v>0</v>
      </c>
      <c r="I138" s="20" t="str">
        <f aca="false">IF(B138=0,"",IF(OR(G138=1,H138=1),0,1))</f>
        <v/>
      </c>
    </row>
    <row r="139" customFormat="false" ht="15" hidden="false" customHeight="false" outlineLevel="0" collapsed="false">
      <c r="A139" s="20" t="str">
        <f aca="false">IF(COUNT('2 Import Main'!C139:DB139)=0,"",139)</f>
        <v/>
      </c>
      <c r="B139" s="20" t="n">
        <f aca="false">COUNT('2 Import Main'!C139:DB139)</f>
        <v>0</v>
      </c>
      <c r="C139" s="19" t="str">
        <f aca="false">IFERROR(AVERAGEIF('2 Import Main'!$C$3:$DB$3,"F",'2 Import Main'!C139:DB139),"")</f>
        <v/>
      </c>
      <c r="D139" s="19" t="str">
        <f aca="false">IFERROR(AVERAGEIF('2 Import Main'!$C$3:$DB$3,"R",'2 Import Main'!C139:DB139),"")</f>
        <v/>
      </c>
      <c r="E139" s="20" t="n">
        <f aca="false">IFERROR(MAX('2 Import Main'!C139:DB139),"")</f>
        <v>0</v>
      </c>
      <c r="F139" s="20" t="n">
        <f aca="false">IFERROR(MIN('2 Import Main'!C139:DB139),"")</f>
        <v>0</v>
      </c>
      <c r="G139" s="20" t="str">
        <f aca="false">IF(B139=0,"",IF(E139=F139,1,0))</f>
        <v/>
      </c>
      <c r="H139" s="20" t="n">
        <f aca="false">IF(OR(B139=0,C139="",D139=""),0,IF(OR(AND(C139&gt;=4,D139&gt;=4),AND(C139&lt;=2,D139&lt;=2)),1,0))</f>
        <v>0</v>
      </c>
      <c r="I139" s="20" t="str">
        <f aca="false">IF(B139=0,"",IF(OR(G139=1,H139=1),0,1))</f>
        <v/>
      </c>
    </row>
    <row r="140" customFormat="false" ht="15" hidden="false" customHeight="false" outlineLevel="0" collapsed="false">
      <c r="A140" s="20" t="str">
        <f aca="false">IF(COUNT('2 Import Main'!C140:DB140)=0,"",140)</f>
        <v/>
      </c>
      <c r="B140" s="20" t="n">
        <f aca="false">COUNT('2 Import Main'!C140:DB140)</f>
        <v>0</v>
      </c>
      <c r="C140" s="19" t="str">
        <f aca="false">IFERROR(AVERAGEIF('2 Import Main'!$C$3:$DB$3,"F",'2 Import Main'!C140:DB140),"")</f>
        <v/>
      </c>
      <c r="D140" s="19" t="str">
        <f aca="false">IFERROR(AVERAGEIF('2 Import Main'!$C$3:$DB$3,"R",'2 Import Main'!C140:DB140),"")</f>
        <v/>
      </c>
      <c r="E140" s="20" t="n">
        <f aca="false">IFERROR(MAX('2 Import Main'!C140:DB140),"")</f>
        <v>0</v>
      </c>
      <c r="F140" s="20" t="n">
        <f aca="false">IFERROR(MIN('2 Import Main'!C140:DB140),"")</f>
        <v>0</v>
      </c>
      <c r="G140" s="20" t="str">
        <f aca="false">IF(B140=0,"",IF(E140=F140,1,0))</f>
        <v/>
      </c>
      <c r="H140" s="20" t="n">
        <f aca="false">IF(OR(B140=0,C140="",D140=""),0,IF(OR(AND(C140&gt;=4,D140&gt;=4),AND(C140&lt;=2,D140&lt;=2)),1,0))</f>
        <v>0</v>
      </c>
      <c r="I140" s="20" t="str">
        <f aca="false">IF(B140=0,"",IF(OR(G140=1,H140=1),0,1))</f>
        <v/>
      </c>
    </row>
    <row r="141" customFormat="false" ht="15" hidden="false" customHeight="false" outlineLevel="0" collapsed="false">
      <c r="A141" s="20" t="str">
        <f aca="false">IF(COUNT('2 Import Main'!C141:DB141)=0,"",141)</f>
        <v/>
      </c>
      <c r="B141" s="20" t="n">
        <f aca="false">COUNT('2 Import Main'!C141:DB141)</f>
        <v>0</v>
      </c>
      <c r="C141" s="19" t="str">
        <f aca="false">IFERROR(AVERAGEIF('2 Import Main'!$C$3:$DB$3,"F",'2 Import Main'!C141:DB141),"")</f>
        <v/>
      </c>
      <c r="D141" s="19" t="str">
        <f aca="false">IFERROR(AVERAGEIF('2 Import Main'!$C$3:$DB$3,"R",'2 Import Main'!C141:DB141),"")</f>
        <v/>
      </c>
      <c r="E141" s="20" t="n">
        <f aca="false">IFERROR(MAX('2 Import Main'!C141:DB141),"")</f>
        <v>0</v>
      </c>
      <c r="F141" s="20" t="n">
        <f aca="false">IFERROR(MIN('2 Import Main'!C141:DB141),"")</f>
        <v>0</v>
      </c>
      <c r="G141" s="20" t="str">
        <f aca="false">IF(B141=0,"",IF(E141=F141,1,0))</f>
        <v/>
      </c>
      <c r="H141" s="20" t="n">
        <f aca="false">IF(OR(B141=0,C141="",D141=""),0,IF(OR(AND(C141&gt;=4,D141&gt;=4),AND(C141&lt;=2,D141&lt;=2)),1,0))</f>
        <v>0</v>
      </c>
      <c r="I141" s="20" t="str">
        <f aca="false">IF(B141=0,"",IF(OR(G141=1,H141=1),0,1))</f>
        <v/>
      </c>
    </row>
    <row r="142" customFormat="false" ht="15" hidden="false" customHeight="false" outlineLevel="0" collapsed="false">
      <c r="A142" s="20" t="str">
        <f aca="false">IF(COUNT('2 Import Main'!C142:DB142)=0,"",142)</f>
        <v/>
      </c>
      <c r="B142" s="20" t="n">
        <f aca="false">COUNT('2 Import Main'!C142:DB142)</f>
        <v>0</v>
      </c>
      <c r="C142" s="19" t="str">
        <f aca="false">IFERROR(AVERAGEIF('2 Import Main'!$C$3:$DB$3,"F",'2 Import Main'!C142:DB142),"")</f>
        <v/>
      </c>
      <c r="D142" s="19" t="str">
        <f aca="false">IFERROR(AVERAGEIF('2 Import Main'!$C$3:$DB$3,"R",'2 Import Main'!C142:DB142),"")</f>
        <v/>
      </c>
      <c r="E142" s="20" t="n">
        <f aca="false">IFERROR(MAX('2 Import Main'!C142:DB142),"")</f>
        <v>0</v>
      </c>
      <c r="F142" s="20" t="n">
        <f aca="false">IFERROR(MIN('2 Import Main'!C142:DB142),"")</f>
        <v>0</v>
      </c>
      <c r="G142" s="20" t="str">
        <f aca="false">IF(B142=0,"",IF(E142=F142,1,0))</f>
        <v/>
      </c>
      <c r="H142" s="20" t="n">
        <f aca="false">IF(OR(B142=0,C142="",D142=""),0,IF(OR(AND(C142&gt;=4,D142&gt;=4),AND(C142&lt;=2,D142&lt;=2)),1,0))</f>
        <v>0</v>
      </c>
      <c r="I142" s="20" t="str">
        <f aca="false">IF(B142=0,"",IF(OR(G142=1,H142=1),0,1))</f>
        <v/>
      </c>
    </row>
    <row r="143" customFormat="false" ht="15" hidden="false" customHeight="false" outlineLevel="0" collapsed="false">
      <c r="A143" s="20" t="str">
        <f aca="false">IF(COUNT('2 Import Main'!C143:DB143)=0,"",143)</f>
        <v/>
      </c>
      <c r="B143" s="20" t="n">
        <f aca="false">COUNT('2 Import Main'!C143:DB143)</f>
        <v>0</v>
      </c>
      <c r="C143" s="19" t="str">
        <f aca="false">IFERROR(AVERAGEIF('2 Import Main'!$C$3:$DB$3,"F",'2 Import Main'!C143:DB143),"")</f>
        <v/>
      </c>
      <c r="D143" s="19" t="str">
        <f aca="false">IFERROR(AVERAGEIF('2 Import Main'!$C$3:$DB$3,"R",'2 Import Main'!C143:DB143),"")</f>
        <v/>
      </c>
      <c r="E143" s="20" t="n">
        <f aca="false">IFERROR(MAX('2 Import Main'!C143:DB143),"")</f>
        <v>0</v>
      </c>
      <c r="F143" s="20" t="n">
        <f aca="false">IFERROR(MIN('2 Import Main'!C143:DB143),"")</f>
        <v>0</v>
      </c>
      <c r="G143" s="20" t="str">
        <f aca="false">IF(B143=0,"",IF(E143=F143,1,0))</f>
        <v/>
      </c>
      <c r="H143" s="20" t="n">
        <f aca="false">IF(OR(B143=0,C143="",D143=""),0,IF(OR(AND(C143&gt;=4,D143&gt;=4),AND(C143&lt;=2,D143&lt;=2)),1,0))</f>
        <v>0</v>
      </c>
      <c r="I143" s="20" t="str">
        <f aca="false">IF(B143=0,"",IF(OR(G143=1,H143=1),0,1))</f>
        <v/>
      </c>
    </row>
    <row r="144" customFormat="false" ht="15" hidden="false" customHeight="false" outlineLevel="0" collapsed="false">
      <c r="A144" s="20" t="str">
        <f aca="false">IF(COUNT('2 Import Main'!C144:DB144)=0,"",144)</f>
        <v/>
      </c>
      <c r="B144" s="20" t="n">
        <f aca="false">COUNT('2 Import Main'!C144:DB144)</f>
        <v>0</v>
      </c>
      <c r="C144" s="19" t="str">
        <f aca="false">IFERROR(AVERAGEIF('2 Import Main'!$C$3:$DB$3,"F",'2 Import Main'!C144:DB144),"")</f>
        <v/>
      </c>
      <c r="D144" s="19" t="str">
        <f aca="false">IFERROR(AVERAGEIF('2 Import Main'!$C$3:$DB$3,"R",'2 Import Main'!C144:DB144),"")</f>
        <v/>
      </c>
      <c r="E144" s="20" t="n">
        <f aca="false">IFERROR(MAX('2 Import Main'!C144:DB144),"")</f>
        <v>0</v>
      </c>
      <c r="F144" s="20" t="n">
        <f aca="false">IFERROR(MIN('2 Import Main'!C144:DB144),"")</f>
        <v>0</v>
      </c>
      <c r="G144" s="20" t="str">
        <f aca="false">IF(B144=0,"",IF(E144=F144,1,0))</f>
        <v/>
      </c>
      <c r="H144" s="20" t="n">
        <f aca="false">IF(OR(B144=0,C144="",D144=""),0,IF(OR(AND(C144&gt;=4,D144&gt;=4),AND(C144&lt;=2,D144&lt;=2)),1,0))</f>
        <v>0</v>
      </c>
      <c r="I144" s="20" t="str">
        <f aca="false">IF(B144=0,"",IF(OR(G144=1,H144=1),0,1))</f>
        <v/>
      </c>
    </row>
    <row r="145" customFormat="false" ht="15" hidden="false" customHeight="false" outlineLevel="0" collapsed="false">
      <c r="A145" s="20" t="str">
        <f aca="false">IF(COUNT('2 Import Main'!C145:DB145)=0,"",145)</f>
        <v/>
      </c>
      <c r="B145" s="20" t="n">
        <f aca="false">COUNT('2 Import Main'!C145:DB145)</f>
        <v>0</v>
      </c>
      <c r="C145" s="19" t="str">
        <f aca="false">IFERROR(AVERAGEIF('2 Import Main'!$C$3:$DB$3,"F",'2 Import Main'!C145:DB145),"")</f>
        <v/>
      </c>
      <c r="D145" s="19" t="str">
        <f aca="false">IFERROR(AVERAGEIF('2 Import Main'!$C$3:$DB$3,"R",'2 Import Main'!C145:DB145),"")</f>
        <v/>
      </c>
      <c r="E145" s="20" t="n">
        <f aca="false">IFERROR(MAX('2 Import Main'!C145:DB145),"")</f>
        <v>0</v>
      </c>
      <c r="F145" s="20" t="n">
        <f aca="false">IFERROR(MIN('2 Import Main'!C145:DB145),"")</f>
        <v>0</v>
      </c>
      <c r="G145" s="20" t="str">
        <f aca="false">IF(B145=0,"",IF(E145=F145,1,0))</f>
        <v/>
      </c>
      <c r="H145" s="20" t="n">
        <f aca="false">IF(OR(B145=0,C145="",D145=""),0,IF(OR(AND(C145&gt;=4,D145&gt;=4),AND(C145&lt;=2,D145&lt;=2)),1,0))</f>
        <v>0</v>
      </c>
      <c r="I145" s="20" t="str">
        <f aca="false">IF(B145=0,"",IF(OR(G145=1,H145=1),0,1))</f>
        <v/>
      </c>
    </row>
    <row r="146" customFormat="false" ht="15" hidden="false" customHeight="false" outlineLevel="0" collapsed="false">
      <c r="A146" s="20" t="str">
        <f aca="false">IF(COUNT('2 Import Main'!C146:DB146)=0,"",146)</f>
        <v/>
      </c>
      <c r="B146" s="20" t="n">
        <f aca="false">COUNT('2 Import Main'!C146:DB146)</f>
        <v>0</v>
      </c>
      <c r="C146" s="19" t="str">
        <f aca="false">IFERROR(AVERAGEIF('2 Import Main'!$C$3:$DB$3,"F",'2 Import Main'!C146:DB146),"")</f>
        <v/>
      </c>
      <c r="D146" s="19" t="str">
        <f aca="false">IFERROR(AVERAGEIF('2 Import Main'!$C$3:$DB$3,"R",'2 Import Main'!C146:DB146),"")</f>
        <v/>
      </c>
      <c r="E146" s="20" t="n">
        <f aca="false">IFERROR(MAX('2 Import Main'!C146:DB146),"")</f>
        <v>0</v>
      </c>
      <c r="F146" s="20" t="n">
        <f aca="false">IFERROR(MIN('2 Import Main'!C146:DB146),"")</f>
        <v>0</v>
      </c>
      <c r="G146" s="20" t="str">
        <f aca="false">IF(B146=0,"",IF(E146=F146,1,0))</f>
        <v/>
      </c>
      <c r="H146" s="20" t="n">
        <f aca="false">IF(OR(B146=0,C146="",D146=""),0,IF(OR(AND(C146&gt;=4,D146&gt;=4),AND(C146&lt;=2,D146&lt;=2)),1,0))</f>
        <v>0</v>
      </c>
      <c r="I146" s="20" t="str">
        <f aca="false">IF(B146=0,"",IF(OR(G146=1,H146=1),0,1))</f>
        <v/>
      </c>
    </row>
    <row r="147" customFormat="false" ht="15" hidden="false" customHeight="false" outlineLevel="0" collapsed="false">
      <c r="A147" s="20" t="str">
        <f aca="false">IF(COUNT('2 Import Main'!C147:DB147)=0,"",147)</f>
        <v/>
      </c>
      <c r="B147" s="20" t="n">
        <f aca="false">COUNT('2 Import Main'!C147:DB147)</f>
        <v>0</v>
      </c>
      <c r="C147" s="19" t="str">
        <f aca="false">IFERROR(AVERAGEIF('2 Import Main'!$C$3:$DB$3,"F",'2 Import Main'!C147:DB147),"")</f>
        <v/>
      </c>
      <c r="D147" s="19" t="str">
        <f aca="false">IFERROR(AVERAGEIF('2 Import Main'!$C$3:$DB$3,"R",'2 Import Main'!C147:DB147),"")</f>
        <v/>
      </c>
      <c r="E147" s="20" t="n">
        <f aca="false">IFERROR(MAX('2 Import Main'!C147:DB147),"")</f>
        <v>0</v>
      </c>
      <c r="F147" s="20" t="n">
        <f aca="false">IFERROR(MIN('2 Import Main'!C147:DB147),"")</f>
        <v>0</v>
      </c>
      <c r="G147" s="20" t="str">
        <f aca="false">IF(B147=0,"",IF(E147=F147,1,0))</f>
        <v/>
      </c>
      <c r="H147" s="20" t="n">
        <f aca="false">IF(OR(B147=0,C147="",D147=""),0,IF(OR(AND(C147&gt;=4,D147&gt;=4),AND(C147&lt;=2,D147&lt;=2)),1,0))</f>
        <v>0</v>
      </c>
      <c r="I147" s="20" t="str">
        <f aca="false">IF(B147=0,"",IF(OR(G147=1,H147=1),0,1))</f>
        <v/>
      </c>
    </row>
    <row r="148" customFormat="false" ht="15" hidden="false" customHeight="false" outlineLevel="0" collapsed="false">
      <c r="A148" s="20" t="str">
        <f aca="false">IF(COUNT('2 Import Main'!C148:DB148)=0,"",148)</f>
        <v/>
      </c>
      <c r="B148" s="20" t="n">
        <f aca="false">COUNT('2 Import Main'!C148:DB148)</f>
        <v>0</v>
      </c>
      <c r="C148" s="19" t="str">
        <f aca="false">IFERROR(AVERAGEIF('2 Import Main'!$C$3:$DB$3,"F",'2 Import Main'!C148:DB148),"")</f>
        <v/>
      </c>
      <c r="D148" s="19" t="str">
        <f aca="false">IFERROR(AVERAGEIF('2 Import Main'!$C$3:$DB$3,"R",'2 Import Main'!C148:DB148),"")</f>
        <v/>
      </c>
      <c r="E148" s="20" t="n">
        <f aca="false">IFERROR(MAX('2 Import Main'!C148:DB148),"")</f>
        <v>0</v>
      </c>
      <c r="F148" s="20" t="n">
        <f aca="false">IFERROR(MIN('2 Import Main'!C148:DB148),"")</f>
        <v>0</v>
      </c>
      <c r="G148" s="20" t="str">
        <f aca="false">IF(B148=0,"",IF(E148=F148,1,0))</f>
        <v/>
      </c>
      <c r="H148" s="20" t="n">
        <f aca="false">IF(OR(B148=0,C148="",D148=""),0,IF(OR(AND(C148&gt;=4,D148&gt;=4),AND(C148&lt;=2,D148&lt;=2)),1,0))</f>
        <v>0</v>
      </c>
      <c r="I148" s="20" t="str">
        <f aca="false">IF(B148=0,"",IF(OR(G148=1,H148=1),0,1))</f>
        <v/>
      </c>
    </row>
    <row r="149" customFormat="false" ht="15" hidden="false" customHeight="false" outlineLevel="0" collapsed="false">
      <c r="A149" s="20" t="str">
        <f aca="false">IF(COUNT('2 Import Main'!C149:DB149)=0,"",149)</f>
        <v/>
      </c>
      <c r="B149" s="20" t="n">
        <f aca="false">COUNT('2 Import Main'!C149:DB149)</f>
        <v>0</v>
      </c>
      <c r="C149" s="19" t="str">
        <f aca="false">IFERROR(AVERAGEIF('2 Import Main'!$C$3:$DB$3,"F",'2 Import Main'!C149:DB149),"")</f>
        <v/>
      </c>
      <c r="D149" s="19" t="str">
        <f aca="false">IFERROR(AVERAGEIF('2 Import Main'!$C$3:$DB$3,"R",'2 Import Main'!C149:DB149),"")</f>
        <v/>
      </c>
      <c r="E149" s="20" t="n">
        <f aca="false">IFERROR(MAX('2 Import Main'!C149:DB149),"")</f>
        <v>0</v>
      </c>
      <c r="F149" s="20" t="n">
        <f aca="false">IFERROR(MIN('2 Import Main'!C149:DB149),"")</f>
        <v>0</v>
      </c>
      <c r="G149" s="20" t="str">
        <f aca="false">IF(B149=0,"",IF(E149=F149,1,0))</f>
        <v/>
      </c>
      <c r="H149" s="20" t="n">
        <f aca="false">IF(OR(B149=0,C149="",D149=""),0,IF(OR(AND(C149&gt;=4,D149&gt;=4),AND(C149&lt;=2,D149&lt;=2)),1,0))</f>
        <v>0</v>
      </c>
      <c r="I149" s="20" t="str">
        <f aca="false">IF(B149=0,"",IF(OR(G149=1,H149=1),0,1))</f>
        <v/>
      </c>
    </row>
    <row r="150" customFormat="false" ht="15" hidden="false" customHeight="false" outlineLevel="0" collapsed="false">
      <c r="A150" s="20" t="str">
        <f aca="false">IF(COUNT('2 Import Main'!C150:DB150)=0,"",150)</f>
        <v/>
      </c>
      <c r="B150" s="20" t="n">
        <f aca="false">COUNT('2 Import Main'!C150:DB150)</f>
        <v>0</v>
      </c>
      <c r="C150" s="19" t="str">
        <f aca="false">IFERROR(AVERAGEIF('2 Import Main'!$C$3:$DB$3,"F",'2 Import Main'!C150:DB150),"")</f>
        <v/>
      </c>
      <c r="D150" s="19" t="str">
        <f aca="false">IFERROR(AVERAGEIF('2 Import Main'!$C$3:$DB$3,"R",'2 Import Main'!C150:DB150),"")</f>
        <v/>
      </c>
      <c r="E150" s="20" t="n">
        <f aca="false">IFERROR(MAX('2 Import Main'!C150:DB150),"")</f>
        <v>0</v>
      </c>
      <c r="F150" s="20" t="n">
        <f aca="false">IFERROR(MIN('2 Import Main'!C150:DB150),"")</f>
        <v>0</v>
      </c>
      <c r="G150" s="20" t="str">
        <f aca="false">IF(B150=0,"",IF(E150=F150,1,0))</f>
        <v/>
      </c>
      <c r="H150" s="20" t="n">
        <f aca="false">IF(OR(B150=0,C150="",D150=""),0,IF(OR(AND(C150&gt;=4,D150&gt;=4),AND(C150&lt;=2,D150&lt;=2)),1,0))</f>
        <v>0</v>
      </c>
      <c r="I150" s="20" t="str">
        <f aca="false">IF(B150=0,"",IF(OR(G150=1,H150=1),0,1))</f>
        <v/>
      </c>
    </row>
    <row r="151" customFormat="false" ht="15" hidden="false" customHeight="false" outlineLevel="0" collapsed="false">
      <c r="A151" s="20" t="str">
        <f aca="false">IF(COUNT('2 Import Main'!C151:DB151)=0,"",151)</f>
        <v/>
      </c>
      <c r="B151" s="20" t="n">
        <f aca="false">COUNT('2 Import Main'!C151:DB151)</f>
        <v>0</v>
      </c>
      <c r="C151" s="19" t="str">
        <f aca="false">IFERROR(AVERAGEIF('2 Import Main'!$C$3:$DB$3,"F",'2 Import Main'!C151:DB151),"")</f>
        <v/>
      </c>
      <c r="D151" s="19" t="str">
        <f aca="false">IFERROR(AVERAGEIF('2 Import Main'!$C$3:$DB$3,"R",'2 Import Main'!C151:DB151),"")</f>
        <v/>
      </c>
      <c r="E151" s="20" t="n">
        <f aca="false">IFERROR(MAX('2 Import Main'!C151:DB151),"")</f>
        <v>0</v>
      </c>
      <c r="F151" s="20" t="n">
        <f aca="false">IFERROR(MIN('2 Import Main'!C151:DB151),"")</f>
        <v>0</v>
      </c>
      <c r="G151" s="20" t="str">
        <f aca="false">IF(B151=0,"",IF(E151=F151,1,0))</f>
        <v/>
      </c>
      <c r="H151" s="20" t="n">
        <f aca="false">IF(OR(B151=0,C151="",D151=""),0,IF(OR(AND(C151&gt;=4,D151&gt;=4),AND(C151&lt;=2,D151&lt;=2)),1,0))</f>
        <v>0</v>
      </c>
      <c r="I151" s="20" t="str">
        <f aca="false">IF(B151=0,"",IF(OR(G151=1,H151=1),0,1))</f>
        <v/>
      </c>
    </row>
    <row r="152" customFormat="false" ht="15" hidden="false" customHeight="false" outlineLevel="0" collapsed="false">
      <c r="A152" s="20" t="str">
        <f aca="false">IF(COUNT('2 Import Main'!C152:DB152)=0,"",152)</f>
        <v/>
      </c>
      <c r="B152" s="20" t="n">
        <f aca="false">COUNT('2 Import Main'!C152:DB152)</f>
        <v>0</v>
      </c>
      <c r="C152" s="19" t="str">
        <f aca="false">IFERROR(AVERAGEIF('2 Import Main'!$C$3:$DB$3,"F",'2 Import Main'!C152:DB152),"")</f>
        <v/>
      </c>
      <c r="D152" s="19" t="str">
        <f aca="false">IFERROR(AVERAGEIF('2 Import Main'!$C$3:$DB$3,"R",'2 Import Main'!C152:DB152),"")</f>
        <v/>
      </c>
      <c r="E152" s="20" t="n">
        <f aca="false">IFERROR(MAX('2 Import Main'!C152:DB152),"")</f>
        <v>0</v>
      </c>
      <c r="F152" s="20" t="n">
        <f aca="false">IFERROR(MIN('2 Import Main'!C152:DB152),"")</f>
        <v>0</v>
      </c>
      <c r="G152" s="20" t="str">
        <f aca="false">IF(B152=0,"",IF(E152=F152,1,0))</f>
        <v/>
      </c>
      <c r="H152" s="20" t="n">
        <f aca="false">IF(OR(B152=0,C152="",D152=""),0,IF(OR(AND(C152&gt;=4,D152&gt;=4),AND(C152&lt;=2,D152&lt;=2)),1,0))</f>
        <v>0</v>
      </c>
      <c r="I152" s="20" t="str">
        <f aca="false">IF(B152=0,"",IF(OR(G152=1,H152=1),0,1))</f>
        <v/>
      </c>
    </row>
    <row r="153" customFormat="false" ht="15" hidden="false" customHeight="false" outlineLevel="0" collapsed="false">
      <c r="A153" s="20" t="str">
        <f aca="false">IF(COUNT('2 Import Main'!C153:DB153)=0,"",153)</f>
        <v/>
      </c>
      <c r="B153" s="20" t="n">
        <f aca="false">COUNT('2 Import Main'!C153:DB153)</f>
        <v>0</v>
      </c>
      <c r="C153" s="19" t="str">
        <f aca="false">IFERROR(AVERAGEIF('2 Import Main'!$C$3:$DB$3,"F",'2 Import Main'!C153:DB153),"")</f>
        <v/>
      </c>
      <c r="D153" s="19" t="str">
        <f aca="false">IFERROR(AVERAGEIF('2 Import Main'!$C$3:$DB$3,"R",'2 Import Main'!C153:DB153),"")</f>
        <v/>
      </c>
      <c r="E153" s="20" t="n">
        <f aca="false">IFERROR(MAX('2 Import Main'!C153:DB153),"")</f>
        <v>0</v>
      </c>
      <c r="F153" s="20" t="n">
        <f aca="false">IFERROR(MIN('2 Import Main'!C153:DB153),"")</f>
        <v>0</v>
      </c>
      <c r="G153" s="20" t="str">
        <f aca="false">IF(B153=0,"",IF(E153=F153,1,0))</f>
        <v/>
      </c>
      <c r="H153" s="20" t="n">
        <f aca="false">IF(OR(B153=0,C153="",D153=""),0,IF(OR(AND(C153&gt;=4,D153&gt;=4),AND(C153&lt;=2,D153&lt;=2)),1,0))</f>
        <v>0</v>
      </c>
      <c r="I153" s="20" t="str">
        <f aca="false">IF(B153=0,"",IF(OR(G153=1,H153=1),0,1))</f>
        <v/>
      </c>
    </row>
    <row r="154" customFormat="false" ht="15" hidden="false" customHeight="false" outlineLevel="0" collapsed="false">
      <c r="A154" s="20" t="str">
        <f aca="false">IF(COUNT('2 Import Main'!C154:DB154)=0,"",154)</f>
        <v/>
      </c>
      <c r="B154" s="20" t="n">
        <f aca="false">COUNT('2 Import Main'!C154:DB154)</f>
        <v>0</v>
      </c>
      <c r="C154" s="19" t="str">
        <f aca="false">IFERROR(AVERAGEIF('2 Import Main'!$C$3:$DB$3,"F",'2 Import Main'!C154:DB154),"")</f>
        <v/>
      </c>
      <c r="D154" s="19" t="str">
        <f aca="false">IFERROR(AVERAGEIF('2 Import Main'!$C$3:$DB$3,"R",'2 Import Main'!C154:DB154),"")</f>
        <v/>
      </c>
      <c r="E154" s="20" t="n">
        <f aca="false">IFERROR(MAX('2 Import Main'!C154:DB154),"")</f>
        <v>0</v>
      </c>
      <c r="F154" s="20" t="n">
        <f aca="false">IFERROR(MIN('2 Import Main'!C154:DB154),"")</f>
        <v>0</v>
      </c>
      <c r="G154" s="20" t="str">
        <f aca="false">IF(B154=0,"",IF(E154=F154,1,0))</f>
        <v/>
      </c>
      <c r="H154" s="20" t="n">
        <f aca="false">IF(OR(B154=0,C154="",D154=""),0,IF(OR(AND(C154&gt;=4,D154&gt;=4),AND(C154&lt;=2,D154&lt;=2)),1,0))</f>
        <v>0</v>
      </c>
      <c r="I154" s="20" t="str">
        <f aca="false">IF(B154=0,"",IF(OR(G154=1,H154=1),0,1))</f>
        <v/>
      </c>
    </row>
    <row r="155" customFormat="false" ht="15" hidden="false" customHeight="false" outlineLevel="0" collapsed="false">
      <c r="A155" s="20" t="str">
        <f aca="false">IF(COUNT('2 Import Main'!C155:DB155)=0,"",155)</f>
        <v/>
      </c>
      <c r="B155" s="20" t="n">
        <f aca="false">COUNT('2 Import Main'!C155:DB155)</f>
        <v>0</v>
      </c>
      <c r="C155" s="19" t="str">
        <f aca="false">IFERROR(AVERAGEIF('2 Import Main'!$C$3:$DB$3,"F",'2 Import Main'!C155:DB155),"")</f>
        <v/>
      </c>
      <c r="D155" s="19" t="str">
        <f aca="false">IFERROR(AVERAGEIF('2 Import Main'!$C$3:$DB$3,"R",'2 Import Main'!C155:DB155),"")</f>
        <v/>
      </c>
      <c r="E155" s="20" t="n">
        <f aca="false">IFERROR(MAX('2 Import Main'!C155:DB155),"")</f>
        <v>0</v>
      </c>
      <c r="F155" s="20" t="n">
        <f aca="false">IFERROR(MIN('2 Import Main'!C155:DB155),"")</f>
        <v>0</v>
      </c>
      <c r="G155" s="20" t="str">
        <f aca="false">IF(B155=0,"",IF(E155=F155,1,0))</f>
        <v/>
      </c>
      <c r="H155" s="20" t="n">
        <f aca="false">IF(OR(B155=0,C155="",D155=""),0,IF(OR(AND(C155&gt;=4,D155&gt;=4),AND(C155&lt;=2,D155&lt;=2)),1,0))</f>
        <v>0</v>
      </c>
      <c r="I155" s="20" t="str">
        <f aca="false">IF(B155=0,"",IF(OR(G155=1,H155=1),0,1))</f>
        <v/>
      </c>
    </row>
    <row r="156" customFormat="false" ht="15" hidden="false" customHeight="false" outlineLevel="0" collapsed="false">
      <c r="A156" s="20" t="str">
        <f aca="false">IF(COUNT('2 Import Main'!C156:DB156)=0,"",156)</f>
        <v/>
      </c>
      <c r="B156" s="20" t="n">
        <f aca="false">COUNT('2 Import Main'!C156:DB156)</f>
        <v>0</v>
      </c>
      <c r="C156" s="19" t="str">
        <f aca="false">IFERROR(AVERAGEIF('2 Import Main'!$C$3:$DB$3,"F",'2 Import Main'!C156:DB156),"")</f>
        <v/>
      </c>
      <c r="D156" s="19" t="str">
        <f aca="false">IFERROR(AVERAGEIF('2 Import Main'!$C$3:$DB$3,"R",'2 Import Main'!C156:DB156),"")</f>
        <v/>
      </c>
      <c r="E156" s="20" t="n">
        <f aca="false">IFERROR(MAX('2 Import Main'!C156:DB156),"")</f>
        <v>0</v>
      </c>
      <c r="F156" s="20" t="n">
        <f aca="false">IFERROR(MIN('2 Import Main'!C156:DB156),"")</f>
        <v>0</v>
      </c>
      <c r="G156" s="20" t="str">
        <f aca="false">IF(B156=0,"",IF(E156=F156,1,0))</f>
        <v/>
      </c>
      <c r="H156" s="20" t="n">
        <f aca="false">IF(OR(B156=0,C156="",D156=""),0,IF(OR(AND(C156&gt;=4,D156&gt;=4),AND(C156&lt;=2,D156&lt;=2)),1,0))</f>
        <v>0</v>
      </c>
      <c r="I156" s="20" t="str">
        <f aca="false">IF(B156=0,"",IF(OR(G156=1,H156=1),0,1))</f>
        <v/>
      </c>
    </row>
    <row r="157" customFormat="false" ht="15" hidden="false" customHeight="false" outlineLevel="0" collapsed="false">
      <c r="A157" s="20" t="str">
        <f aca="false">IF(COUNT('2 Import Main'!C157:DB157)=0,"",157)</f>
        <v/>
      </c>
      <c r="B157" s="20" t="n">
        <f aca="false">COUNT('2 Import Main'!C157:DB157)</f>
        <v>0</v>
      </c>
      <c r="C157" s="19" t="str">
        <f aca="false">IFERROR(AVERAGEIF('2 Import Main'!$C$3:$DB$3,"F",'2 Import Main'!C157:DB157),"")</f>
        <v/>
      </c>
      <c r="D157" s="19" t="str">
        <f aca="false">IFERROR(AVERAGEIF('2 Import Main'!$C$3:$DB$3,"R",'2 Import Main'!C157:DB157),"")</f>
        <v/>
      </c>
      <c r="E157" s="20" t="n">
        <f aca="false">IFERROR(MAX('2 Import Main'!C157:DB157),"")</f>
        <v>0</v>
      </c>
      <c r="F157" s="20" t="n">
        <f aca="false">IFERROR(MIN('2 Import Main'!C157:DB157),"")</f>
        <v>0</v>
      </c>
      <c r="G157" s="20" t="str">
        <f aca="false">IF(B157=0,"",IF(E157=F157,1,0))</f>
        <v/>
      </c>
      <c r="H157" s="20" t="n">
        <f aca="false">IF(OR(B157=0,C157="",D157=""),0,IF(OR(AND(C157&gt;=4,D157&gt;=4),AND(C157&lt;=2,D157&lt;=2)),1,0))</f>
        <v>0</v>
      </c>
      <c r="I157" s="20" t="str">
        <f aca="false">IF(B157=0,"",IF(OR(G157=1,H157=1),0,1))</f>
        <v/>
      </c>
    </row>
    <row r="158" customFormat="false" ht="15" hidden="false" customHeight="false" outlineLevel="0" collapsed="false">
      <c r="A158" s="20" t="str">
        <f aca="false">IF(COUNT('2 Import Main'!C158:DB158)=0,"",158)</f>
        <v/>
      </c>
      <c r="B158" s="20" t="n">
        <f aca="false">COUNT('2 Import Main'!C158:DB158)</f>
        <v>0</v>
      </c>
      <c r="C158" s="19" t="str">
        <f aca="false">IFERROR(AVERAGEIF('2 Import Main'!$C$3:$DB$3,"F",'2 Import Main'!C158:DB158),"")</f>
        <v/>
      </c>
      <c r="D158" s="19" t="str">
        <f aca="false">IFERROR(AVERAGEIF('2 Import Main'!$C$3:$DB$3,"R",'2 Import Main'!C158:DB158),"")</f>
        <v/>
      </c>
      <c r="E158" s="20" t="n">
        <f aca="false">IFERROR(MAX('2 Import Main'!C158:DB158),"")</f>
        <v>0</v>
      </c>
      <c r="F158" s="20" t="n">
        <f aca="false">IFERROR(MIN('2 Import Main'!C158:DB158),"")</f>
        <v>0</v>
      </c>
      <c r="G158" s="20" t="str">
        <f aca="false">IF(B158=0,"",IF(E158=F158,1,0))</f>
        <v/>
      </c>
      <c r="H158" s="20" t="n">
        <f aca="false">IF(OR(B158=0,C158="",D158=""),0,IF(OR(AND(C158&gt;=4,D158&gt;=4),AND(C158&lt;=2,D158&lt;=2)),1,0))</f>
        <v>0</v>
      </c>
      <c r="I158" s="20" t="str">
        <f aca="false">IF(B158=0,"",IF(OR(G158=1,H158=1),0,1))</f>
        <v/>
      </c>
    </row>
    <row r="159" customFormat="false" ht="15" hidden="false" customHeight="false" outlineLevel="0" collapsed="false">
      <c r="A159" s="20" t="str">
        <f aca="false">IF(COUNT('2 Import Main'!C159:DB159)=0,"",159)</f>
        <v/>
      </c>
      <c r="B159" s="20" t="n">
        <f aca="false">COUNT('2 Import Main'!C159:DB159)</f>
        <v>0</v>
      </c>
      <c r="C159" s="19" t="str">
        <f aca="false">IFERROR(AVERAGEIF('2 Import Main'!$C$3:$DB$3,"F",'2 Import Main'!C159:DB159),"")</f>
        <v/>
      </c>
      <c r="D159" s="19" t="str">
        <f aca="false">IFERROR(AVERAGEIF('2 Import Main'!$C$3:$DB$3,"R",'2 Import Main'!C159:DB159),"")</f>
        <v/>
      </c>
      <c r="E159" s="20" t="n">
        <f aca="false">IFERROR(MAX('2 Import Main'!C159:DB159),"")</f>
        <v>0</v>
      </c>
      <c r="F159" s="20" t="n">
        <f aca="false">IFERROR(MIN('2 Import Main'!C159:DB159),"")</f>
        <v>0</v>
      </c>
      <c r="G159" s="20" t="str">
        <f aca="false">IF(B159=0,"",IF(E159=F159,1,0))</f>
        <v/>
      </c>
      <c r="H159" s="20" t="n">
        <f aca="false">IF(OR(B159=0,C159="",D159=""),0,IF(OR(AND(C159&gt;=4,D159&gt;=4),AND(C159&lt;=2,D159&lt;=2)),1,0))</f>
        <v>0</v>
      </c>
      <c r="I159" s="20" t="str">
        <f aca="false">IF(B159=0,"",IF(OR(G159=1,H159=1),0,1))</f>
        <v/>
      </c>
    </row>
    <row r="160" customFormat="false" ht="15" hidden="false" customHeight="false" outlineLevel="0" collapsed="false">
      <c r="A160" s="20" t="str">
        <f aca="false">IF(COUNT('2 Import Main'!C160:DB160)=0,"",160)</f>
        <v/>
      </c>
      <c r="B160" s="20" t="n">
        <f aca="false">COUNT('2 Import Main'!C160:DB160)</f>
        <v>0</v>
      </c>
      <c r="C160" s="19" t="str">
        <f aca="false">IFERROR(AVERAGEIF('2 Import Main'!$C$3:$DB$3,"F",'2 Import Main'!C160:DB160),"")</f>
        <v/>
      </c>
      <c r="D160" s="19" t="str">
        <f aca="false">IFERROR(AVERAGEIF('2 Import Main'!$C$3:$DB$3,"R",'2 Import Main'!C160:DB160),"")</f>
        <v/>
      </c>
      <c r="E160" s="20" t="n">
        <f aca="false">IFERROR(MAX('2 Import Main'!C160:DB160),"")</f>
        <v>0</v>
      </c>
      <c r="F160" s="20" t="n">
        <f aca="false">IFERROR(MIN('2 Import Main'!C160:DB160),"")</f>
        <v>0</v>
      </c>
      <c r="G160" s="20" t="str">
        <f aca="false">IF(B160=0,"",IF(E160=F160,1,0))</f>
        <v/>
      </c>
      <c r="H160" s="20" t="n">
        <f aca="false">IF(OR(B160=0,C160="",D160=""),0,IF(OR(AND(C160&gt;=4,D160&gt;=4),AND(C160&lt;=2,D160&lt;=2)),1,0))</f>
        <v>0</v>
      </c>
      <c r="I160" s="20" t="str">
        <f aca="false">IF(B160=0,"",IF(OR(G160=1,H160=1),0,1))</f>
        <v/>
      </c>
    </row>
    <row r="161" customFormat="false" ht="15" hidden="false" customHeight="false" outlineLevel="0" collapsed="false">
      <c r="A161" s="20" t="str">
        <f aca="false">IF(COUNT('2 Import Main'!C161:DB161)=0,"",161)</f>
        <v/>
      </c>
      <c r="B161" s="20" t="n">
        <f aca="false">COUNT('2 Import Main'!C161:DB161)</f>
        <v>0</v>
      </c>
      <c r="C161" s="19" t="str">
        <f aca="false">IFERROR(AVERAGEIF('2 Import Main'!$C$3:$DB$3,"F",'2 Import Main'!C161:DB161),"")</f>
        <v/>
      </c>
      <c r="D161" s="19" t="str">
        <f aca="false">IFERROR(AVERAGEIF('2 Import Main'!$C$3:$DB$3,"R",'2 Import Main'!C161:DB161),"")</f>
        <v/>
      </c>
      <c r="E161" s="20" t="n">
        <f aca="false">IFERROR(MAX('2 Import Main'!C161:DB161),"")</f>
        <v>0</v>
      </c>
      <c r="F161" s="20" t="n">
        <f aca="false">IFERROR(MIN('2 Import Main'!C161:DB161),"")</f>
        <v>0</v>
      </c>
      <c r="G161" s="20" t="str">
        <f aca="false">IF(B161=0,"",IF(E161=F161,1,0))</f>
        <v/>
      </c>
      <c r="H161" s="20" t="n">
        <f aca="false">IF(OR(B161=0,C161="",D161=""),0,IF(OR(AND(C161&gt;=4,D161&gt;=4),AND(C161&lt;=2,D161&lt;=2)),1,0))</f>
        <v>0</v>
      </c>
      <c r="I161" s="20" t="str">
        <f aca="false">IF(B161=0,"",IF(OR(G161=1,H161=1),0,1))</f>
        <v/>
      </c>
    </row>
    <row r="162" customFormat="false" ht="15" hidden="false" customHeight="false" outlineLevel="0" collapsed="false">
      <c r="A162" s="20" t="str">
        <f aca="false">IF(COUNT('2 Import Main'!C162:DB162)=0,"",162)</f>
        <v/>
      </c>
      <c r="B162" s="20" t="n">
        <f aca="false">COUNT('2 Import Main'!C162:DB162)</f>
        <v>0</v>
      </c>
      <c r="C162" s="19" t="str">
        <f aca="false">IFERROR(AVERAGEIF('2 Import Main'!$C$3:$DB$3,"F",'2 Import Main'!C162:DB162),"")</f>
        <v/>
      </c>
      <c r="D162" s="19" t="str">
        <f aca="false">IFERROR(AVERAGEIF('2 Import Main'!$C$3:$DB$3,"R",'2 Import Main'!C162:DB162),"")</f>
        <v/>
      </c>
      <c r="E162" s="20" t="n">
        <f aca="false">IFERROR(MAX('2 Import Main'!C162:DB162),"")</f>
        <v>0</v>
      </c>
      <c r="F162" s="20" t="n">
        <f aca="false">IFERROR(MIN('2 Import Main'!C162:DB162),"")</f>
        <v>0</v>
      </c>
      <c r="G162" s="20" t="str">
        <f aca="false">IF(B162=0,"",IF(E162=F162,1,0))</f>
        <v/>
      </c>
      <c r="H162" s="20" t="n">
        <f aca="false">IF(OR(B162=0,C162="",D162=""),0,IF(OR(AND(C162&gt;=4,D162&gt;=4),AND(C162&lt;=2,D162&lt;=2)),1,0))</f>
        <v>0</v>
      </c>
      <c r="I162" s="20" t="str">
        <f aca="false">IF(B162=0,"",IF(OR(G162=1,H162=1),0,1))</f>
        <v/>
      </c>
    </row>
    <row r="163" customFormat="false" ht="15" hidden="false" customHeight="false" outlineLevel="0" collapsed="false">
      <c r="A163" s="20" t="str">
        <f aca="false">IF(COUNT('2 Import Main'!C163:DB163)=0,"",163)</f>
        <v/>
      </c>
      <c r="B163" s="20" t="n">
        <f aca="false">COUNT('2 Import Main'!C163:DB163)</f>
        <v>0</v>
      </c>
      <c r="C163" s="19" t="str">
        <f aca="false">IFERROR(AVERAGEIF('2 Import Main'!$C$3:$DB$3,"F",'2 Import Main'!C163:DB163),"")</f>
        <v/>
      </c>
      <c r="D163" s="19" t="str">
        <f aca="false">IFERROR(AVERAGEIF('2 Import Main'!$C$3:$DB$3,"R",'2 Import Main'!C163:DB163),"")</f>
        <v/>
      </c>
      <c r="E163" s="20" t="n">
        <f aca="false">IFERROR(MAX('2 Import Main'!C163:DB163),"")</f>
        <v>0</v>
      </c>
      <c r="F163" s="20" t="n">
        <f aca="false">IFERROR(MIN('2 Import Main'!C163:DB163),"")</f>
        <v>0</v>
      </c>
      <c r="G163" s="20" t="str">
        <f aca="false">IF(B163=0,"",IF(E163=F163,1,0))</f>
        <v/>
      </c>
      <c r="H163" s="20" t="n">
        <f aca="false">IF(OR(B163=0,C163="",D163=""),0,IF(OR(AND(C163&gt;=4,D163&gt;=4),AND(C163&lt;=2,D163&lt;=2)),1,0))</f>
        <v>0</v>
      </c>
      <c r="I163" s="20" t="str">
        <f aca="false">IF(B163=0,"",IF(OR(G163=1,H163=1),0,1))</f>
        <v/>
      </c>
    </row>
    <row r="164" customFormat="false" ht="15" hidden="false" customHeight="false" outlineLevel="0" collapsed="false">
      <c r="A164" s="20" t="str">
        <f aca="false">IF(COUNT('2 Import Main'!C164:DB164)=0,"",164)</f>
        <v/>
      </c>
      <c r="B164" s="20" t="n">
        <f aca="false">COUNT('2 Import Main'!C164:DB164)</f>
        <v>0</v>
      </c>
      <c r="C164" s="19" t="str">
        <f aca="false">IFERROR(AVERAGEIF('2 Import Main'!$C$3:$DB$3,"F",'2 Import Main'!C164:DB164),"")</f>
        <v/>
      </c>
      <c r="D164" s="19" t="str">
        <f aca="false">IFERROR(AVERAGEIF('2 Import Main'!$C$3:$DB$3,"R",'2 Import Main'!C164:DB164),"")</f>
        <v/>
      </c>
      <c r="E164" s="20" t="n">
        <f aca="false">IFERROR(MAX('2 Import Main'!C164:DB164),"")</f>
        <v>0</v>
      </c>
      <c r="F164" s="20" t="n">
        <f aca="false">IFERROR(MIN('2 Import Main'!C164:DB164),"")</f>
        <v>0</v>
      </c>
      <c r="G164" s="20" t="str">
        <f aca="false">IF(B164=0,"",IF(E164=F164,1,0))</f>
        <v/>
      </c>
      <c r="H164" s="20" t="n">
        <f aca="false">IF(OR(B164=0,C164="",D164=""),0,IF(OR(AND(C164&gt;=4,D164&gt;=4),AND(C164&lt;=2,D164&lt;=2)),1,0))</f>
        <v>0</v>
      </c>
      <c r="I164" s="20" t="str">
        <f aca="false">IF(B164=0,"",IF(OR(G164=1,H164=1),0,1))</f>
        <v/>
      </c>
    </row>
    <row r="165" customFormat="false" ht="15" hidden="false" customHeight="false" outlineLevel="0" collapsed="false">
      <c r="A165" s="20" t="str">
        <f aca="false">IF(COUNT('2 Import Main'!C165:DB165)=0,"",165)</f>
        <v/>
      </c>
      <c r="B165" s="20" t="n">
        <f aca="false">COUNT('2 Import Main'!C165:DB165)</f>
        <v>0</v>
      </c>
      <c r="C165" s="19" t="str">
        <f aca="false">IFERROR(AVERAGEIF('2 Import Main'!$C$3:$DB$3,"F",'2 Import Main'!C165:DB165),"")</f>
        <v/>
      </c>
      <c r="D165" s="19" t="str">
        <f aca="false">IFERROR(AVERAGEIF('2 Import Main'!$C$3:$DB$3,"R",'2 Import Main'!C165:DB165),"")</f>
        <v/>
      </c>
      <c r="E165" s="20" t="n">
        <f aca="false">IFERROR(MAX('2 Import Main'!C165:DB165),"")</f>
        <v>0</v>
      </c>
      <c r="F165" s="20" t="n">
        <f aca="false">IFERROR(MIN('2 Import Main'!C165:DB165),"")</f>
        <v>0</v>
      </c>
      <c r="G165" s="20" t="str">
        <f aca="false">IF(B165=0,"",IF(E165=F165,1,0))</f>
        <v/>
      </c>
      <c r="H165" s="20" t="n">
        <f aca="false">IF(OR(B165=0,C165="",D165=""),0,IF(OR(AND(C165&gt;=4,D165&gt;=4),AND(C165&lt;=2,D165&lt;=2)),1,0))</f>
        <v>0</v>
      </c>
      <c r="I165" s="20" t="str">
        <f aca="false">IF(B165=0,"",IF(OR(G165=1,H165=1),0,1))</f>
        <v/>
      </c>
    </row>
    <row r="166" customFormat="false" ht="15" hidden="false" customHeight="false" outlineLevel="0" collapsed="false">
      <c r="A166" s="20" t="str">
        <f aca="false">IF(COUNT('2 Import Main'!C166:DB166)=0,"",166)</f>
        <v/>
      </c>
      <c r="B166" s="20" t="n">
        <f aca="false">COUNT('2 Import Main'!C166:DB166)</f>
        <v>0</v>
      </c>
      <c r="C166" s="19" t="str">
        <f aca="false">IFERROR(AVERAGEIF('2 Import Main'!$C$3:$DB$3,"F",'2 Import Main'!C166:DB166),"")</f>
        <v/>
      </c>
      <c r="D166" s="19" t="str">
        <f aca="false">IFERROR(AVERAGEIF('2 Import Main'!$C$3:$DB$3,"R",'2 Import Main'!C166:DB166),"")</f>
        <v/>
      </c>
      <c r="E166" s="20" t="n">
        <f aca="false">IFERROR(MAX('2 Import Main'!C166:DB166),"")</f>
        <v>0</v>
      </c>
      <c r="F166" s="20" t="n">
        <f aca="false">IFERROR(MIN('2 Import Main'!C166:DB166),"")</f>
        <v>0</v>
      </c>
      <c r="G166" s="20" t="str">
        <f aca="false">IF(B166=0,"",IF(E166=F166,1,0))</f>
        <v/>
      </c>
      <c r="H166" s="20" t="n">
        <f aca="false">IF(OR(B166=0,C166="",D166=""),0,IF(OR(AND(C166&gt;=4,D166&gt;=4),AND(C166&lt;=2,D166&lt;=2)),1,0))</f>
        <v>0</v>
      </c>
      <c r="I166" s="20" t="str">
        <f aca="false">IF(B166=0,"",IF(OR(G166=1,H166=1),0,1))</f>
        <v/>
      </c>
    </row>
    <row r="167" customFormat="false" ht="15" hidden="false" customHeight="false" outlineLevel="0" collapsed="false">
      <c r="A167" s="20" t="str">
        <f aca="false">IF(COUNT('2 Import Main'!C167:DB167)=0,"",167)</f>
        <v/>
      </c>
      <c r="B167" s="20" t="n">
        <f aca="false">COUNT('2 Import Main'!C167:DB167)</f>
        <v>0</v>
      </c>
      <c r="C167" s="19" t="str">
        <f aca="false">IFERROR(AVERAGEIF('2 Import Main'!$C$3:$DB$3,"F",'2 Import Main'!C167:DB167),"")</f>
        <v/>
      </c>
      <c r="D167" s="19" t="str">
        <f aca="false">IFERROR(AVERAGEIF('2 Import Main'!$C$3:$DB$3,"R",'2 Import Main'!C167:DB167),"")</f>
        <v/>
      </c>
      <c r="E167" s="20" t="n">
        <f aca="false">IFERROR(MAX('2 Import Main'!C167:DB167),"")</f>
        <v>0</v>
      </c>
      <c r="F167" s="20" t="n">
        <f aca="false">IFERROR(MIN('2 Import Main'!C167:DB167),"")</f>
        <v>0</v>
      </c>
      <c r="G167" s="20" t="str">
        <f aca="false">IF(B167=0,"",IF(E167=F167,1,0))</f>
        <v/>
      </c>
      <c r="H167" s="20" t="n">
        <f aca="false">IF(OR(B167=0,C167="",D167=""),0,IF(OR(AND(C167&gt;=4,D167&gt;=4),AND(C167&lt;=2,D167&lt;=2)),1,0))</f>
        <v>0</v>
      </c>
      <c r="I167" s="20" t="str">
        <f aca="false">IF(B167=0,"",IF(OR(G167=1,H167=1),0,1))</f>
        <v/>
      </c>
    </row>
    <row r="168" customFormat="false" ht="15" hidden="false" customHeight="false" outlineLevel="0" collapsed="false">
      <c r="A168" s="20" t="str">
        <f aca="false">IF(COUNT('2 Import Main'!C168:DB168)=0,"",168)</f>
        <v/>
      </c>
      <c r="B168" s="20" t="n">
        <f aca="false">COUNT('2 Import Main'!C168:DB168)</f>
        <v>0</v>
      </c>
      <c r="C168" s="19" t="str">
        <f aca="false">IFERROR(AVERAGEIF('2 Import Main'!$C$3:$DB$3,"F",'2 Import Main'!C168:DB168),"")</f>
        <v/>
      </c>
      <c r="D168" s="19" t="str">
        <f aca="false">IFERROR(AVERAGEIF('2 Import Main'!$C$3:$DB$3,"R",'2 Import Main'!C168:DB168),"")</f>
        <v/>
      </c>
      <c r="E168" s="20" t="n">
        <f aca="false">IFERROR(MAX('2 Import Main'!C168:DB168),"")</f>
        <v>0</v>
      </c>
      <c r="F168" s="20" t="n">
        <f aca="false">IFERROR(MIN('2 Import Main'!C168:DB168),"")</f>
        <v>0</v>
      </c>
      <c r="G168" s="20" t="str">
        <f aca="false">IF(B168=0,"",IF(E168=F168,1,0))</f>
        <v/>
      </c>
      <c r="H168" s="20" t="n">
        <f aca="false">IF(OR(B168=0,C168="",D168=""),0,IF(OR(AND(C168&gt;=4,D168&gt;=4),AND(C168&lt;=2,D168&lt;=2)),1,0))</f>
        <v>0</v>
      </c>
      <c r="I168" s="20" t="str">
        <f aca="false">IF(B168=0,"",IF(OR(G168=1,H168=1),0,1))</f>
        <v/>
      </c>
    </row>
    <row r="169" customFormat="false" ht="15" hidden="false" customHeight="false" outlineLevel="0" collapsed="false">
      <c r="A169" s="20" t="str">
        <f aca="false">IF(COUNT('2 Import Main'!C169:DB169)=0,"",169)</f>
        <v/>
      </c>
      <c r="B169" s="20" t="n">
        <f aca="false">COUNT('2 Import Main'!C169:DB169)</f>
        <v>0</v>
      </c>
      <c r="C169" s="19" t="str">
        <f aca="false">IFERROR(AVERAGEIF('2 Import Main'!$C$3:$DB$3,"F",'2 Import Main'!C169:DB169),"")</f>
        <v/>
      </c>
      <c r="D169" s="19" t="str">
        <f aca="false">IFERROR(AVERAGEIF('2 Import Main'!$C$3:$DB$3,"R",'2 Import Main'!C169:DB169),"")</f>
        <v/>
      </c>
      <c r="E169" s="20" t="n">
        <f aca="false">IFERROR(MAX('2 Import Main'!C169:DB169),"")</f>
        <v>0</v>
      </c>
      <c r="F169" s="20" t="n">
        <f aca="false">IFERROR(MIN('2 Import Main'!C169:DB169),"")</f>
        <v>0</v>
      </c>
      <c r="G169" s="20" t="str">
        <f aca="false">IF(B169=0,"",IF(E169=F169,1,0))</f>
        <v/>
      </c>
      <c r="H169" s="20" t="n">
        <f aca="false">IF(OR(B169=0,C169="",D169=""),0,IF(OR(AND(C169&gt;=4,D169&gt;=4),AND(C169&lt;=2,D169&lt;=2)),1,0))</f>
        <v>0</v>
      </c>
      <c r="I169" s="20" t="str">
        <f aca="false">IF(B169=0,"",IF(OR(G169=1,H169=1),0,1))</f>
        <v/>
      </c>
    </row>
    <row r="170" customFormat="false" ht="15" hidden="false" customHeight="false" outlineLevel="0" collapsed="false">
      <c r="A170" s="20" t="str">
        <f aca="false">IF(COUNT('2 Import Main'!C170:DB170)=0,"",170)</f>
        <v/>
      </c>
      <c r="B170" s="20" t="n">
        <f aca="false">COUNT('2 Import Main'!C170:DB170)</f>
        <v>0</v>
      </c>
      <c r="C170" s="19" t="str">
        <f aca="false">IFERROR(AVERAGEIF('2 Import Main'!$C$3:$DB$3,"F",'2 Import Main'!C170:DB170),"")</f>
        <v/>
      </c>
      <c r="D170" s="19" t="str">
        <f aca="false">IFERROR(AVERAGEIF('2 Import Main'!$C$3:$DB$3,"R",'2 Import Main'!C170:DB170),"")</f>
        <v/>
      </c>
      <c r="E170" s="20" t="n">
        <f aca="false">IFERROR(MAX('2 Import Main'!C170:DB170),"")</f>
        <v>0</v>
      </c>
      <c r="F170" s="20" t="n">
        <f aca="false">IFERROR(MIN('2 Import Main'!C170:DB170),"")</f>
        <v>0</v>
      </c>
      <c r="G170" s="20" t="str">
        <f aca="false">IF(B170=0,"",IF(E170=F170,1,0))</f>
        <v/>
      </c>
      <c r="H170" s="20" t="n">
        <f aca="false">IF(OR(B170=0,C170="",D170=""),0,IF(OR(AND(C170&gt;=4,D170&gt;=4),AND(C170&lt;=2,D170&lt;=2)),1,0))</f>
        <v>0</v>
      </c>
      <c r="I170" s="20" t="str">
        <f aca="false">IF(B170=0,"",IF(OR(G170=1,H170=1),0,1))</f>
        <v/>
      </c>
    </row>
    <row r="171" customFormat="false" ht="15" hidden="false" customHeight="false" outlineLevel="0" collapsed="false">
      <c r="A171" s="20" t="str">
        <f aca="false">IF(COUNT('2 Import Main'!C171:DB171)=0,"",171)</f>
        <v/>
      </c>
      <c r="B171" s="20" t="n">
        <f aca="false">COUNT('2 Import Main'!C171:DB171)</f>
        <v>0</v>
      </c>
      <c r="C171" s="19" t="str">
        <f aca="false">IFERROR(AVERAGEIF('2 Import Main'!$C$3:$DB$3,"F",'2 Import Main'!C171:DB171),"")</f>
        <v/>
      </c>
      <c r="D171" s="19" t="str">
        <f aca="false">IFERROR(AVERAGEIF('2 Import Main'!$C$3:$DB$3,"R",'2 Import Main'!C171:DB171),"")</f>
        <v/>
      </c>
      <c r="E171" s="20" t="n">
        <f aca="false">IFERROR(MAX('2 Import Main'!C171:DB171),"")</f>
        <v>0</v>
      </c>
      <c r="F171" s="20" t="n">
        <f aca="false">IFERROR(MIN('2 Import Main'!C171:DB171),"")</f>
        <v>0</v>
      </c>
      <c r="G171" s="20" t="str">
        <f aca="false">IF(B171=0,"",IF(E171=F171,1,0))</f>
        <v/>
      </c>
      <c r="H171" s="20" t="n">
        <f aca="false">IF(OR(B171=0,C171="",D171=""),0,IF(OR(AND(C171&gt;=4,D171&gt;=4),AND(C171&lt;=2,D171&lt;=2)),1,0))</f>
        <v>0</v>
      </c>
      <c r="I171" s="20" t="str">
        <f aca="false">IF(B171=0,"",IF(OR(G171=1,H171=1),0,1))</f>
        <v/>
      </c>
    </row>
    <row r="172" customFormat="false" ht="15" hidden="false" customHeight="false" outlineLevel="0" collapsed="false">
      <c r="A172" s="20" t="str">
        <f aca="false">IF(COUNT('2 Import Main'!C172:DB172)=0,"",172)</f>
        <v/>
      </c>
      <c r="B172" s="20" t="n">
        <f aca="false">COUNT('2 Import Main'!C172:DB172)</f>
        <v>0</v>
      </c>
      <c r="C172" s="19" t="str">
        <f aca="false">IFERROR(AVERAGEIF('2 Import Main'!$C$3:$DB$3,"F",'2 Import Main'!C172:DB172),"")</f>
        <v/>
      </c>
      <c r="D172" s="19" t="str">
        <f aca="false">IFERROR(AVERAGEIF('2 Import Main'!$C$3:$DB$3,"R",'2 Import Main'!C172:DB172),"")</f>
        <v/>
      </c>
      <c r="E172" s="20" t="n">
        <f aca="false">IFERROR(MAX('2 Import Main'!C172:DB172),"")</f>
        <v>0</v>
      </c>
      <c r="F172" s="20" t="n">
        <f aca="false">IFERROR(MIN('2 Import Main'!C172:DB172),"")</f>
        <v>0</v>
      </c>
      <c r="G172" s="20" t="str">
        <f aca="false">IF(B172=0,"",IF(E172=F172,1,0))</f>
        <v/>
      </c>
      <c r="H172" s="20" t="n">
        <f aca="false">IF(OR(B172=0,C172="",D172=""),0,IF(OR(AND(C172&gt;=4,D172&gt;=4),AND(C172&lt;=2,D172&lt;=2)),1,0))</f>
        <v>0</v>
      </c>
      <c r="I172" s="20" t="str">
        <f aca="false">IF(B172=0,"",IF(OR(G172=1,H172=1),0,1))</f>
        <v/>
      </c>
    </row>
    <row r="173" customFormat="false" ht="15" hidden="false" customHeight="false" outlineLevel="0" collapsed="false">
      <c r="A173" s="20" t="str">
        <f aca="false">IF(COUNT('2 Import Main'!C173:DB173)=0,"",173)</f>
        <v/>
      </c>
      <c r="B173" s="20" t="n">
        <f aca="false">COUNT('2 Import Main'!C173:DB173)</f>
        <v>0</v>
      </c>
      <c r="C173" s="19" t="str">
        <f aca="false">IFERROR(AVERAGEIF('2 Import Main'!$C$3:$DB$3,"F",'2 Import Main'!C173:DB173),"")</f>
        <v/>
      </c>
      <c r="D173" s="19" t="str">
        <f aca="false">IFERROR(AVERAGEIF('2 Import Main'!$C$3:$DB$3,"R",'2 Import Main'!C173:DB173),"")</f>
        <v/>
      </c>
      <c r="E173" s="20" t="n">
        <f aca="false">IFERROR(MAX('2 Import Main'!C173:DB173),"")</f>
        <v>0</v>
      </c>
      <c r="F173" s="20" t="n">
        <f aca="false">IFERROR(MIN('2 Import Main'!C173:DB173),"")</f>
        <v>0</v>
      </c>
      <c r="G173" s="20" t="str">
        <f aca="false">IF(B173=0,"",IF(E173=F173,1,0))</f>
        <v/>
      </c>
      <c r="H173" s="20" t="n">
        <f aca="false">IF(OR(B173=0,C173="",D173=""),0,IF(OR(AND(C173&gt;=4,D173&gt;=4),AND(C173&lt;=2,D173&lt;=2)),1,0))</f>
        <v>0</v>
      </c>
      <c r="I173" s="20" t="str">
        <f aca="false">IF(B173=0,"",IF(OR(G173=1,H173=1),0,1))</f>
        <v/>
      </c>
    </row>
    <row r="174" customFormat="false" ht="15" hidden="false" customHeight="false" outlineLevel="0" collapsed="false">
      <c r="A174" s="20" t="str">
        <f aca="false">IF(COUNT('2 Import Main'!C174:DB174)=0,"",174)</f>
        <v/>
      </c>
      <c r="B174" s="20" t="n">
        <f aca="false">COUNT('2 Import Main'!C174:DB174)</f>
        <v>0</v>
      </c>
      <c r="C174" s="19" t="str">
        <f aca="false">IFERROR(AVERAGEIF('2 Import Main'!$C$3:$DB$3,"F",'2 Import Main'!C174:DB174),"")</f>
        <v/>
      </c>
      <c r="D174" s="19" t="str">
        <f aca="false">IFERROR(AVERAGEIF('2 Import Main'!$C$3:$DB$3,"R",'2 Import Main'!C174:DB174),"")</f>
        <v/>
      </c>
      <c r="E174" s="20" t="n">
        <f aca="false">IFERROR(MAX('2 Import Main'!C174:DB174),"")</f>
        <v>0</v>
      </c>
      <c r="F174" s="20" t="n">
        <f aca="false">IFERROR(MIN('2 Import Main'!C174:DB174),"")</f>
        <v>0</v>
      </c>
      <c r="G174" s="20" t="str">
        <f aca="false">IF(B174=0,"",IF(E174=F174,1,0))</f>
        <v/>
      </c>
      <c r="H174" s="20" t="n">
        <f aca="false">IF(OR(B174=0,C174="",D174=""),0,IF(OR(AND(C174&gt;=4,D174&gt;=4),AND(C174&lt;=2,D174&lt;=2)),1,0))</f>
        <v>0</v>
      </c>
      <c r="I174" s="20" t="str">
        <f aca="false">IF(B174=0,"",IF(OR(G174=1,H174=1),0,1))</f>
        <v/>
      </c>
    </row>
    <row r="175" customFormat="false" ht="15" hidden="false" customHeight="false" outlineLevel="0" collapsed="false">
      <c r="A175" s="20" t="str">
        <f aca="false">IF(COUNT('2 Import Main'!C175:DB175)=0,"",175)</f>
        <v/>
      </c>
      <c r="B175" s="20" t="n">
        <f aca="false">COUNT('2 Import Main'!C175:DB175)</f>
        <v>0</v>
      </c>
      <c r="C175" s="19" t="str">
        <f aca="false">IFERROR(AVERAGEIF('2 Import Main'!$C$3:$DB$3,"F",'2 Import Main'!C175:DB175),"")</f>
        <v/>
      </c>
      <c r="D175" s="19" t="str">
        <f aca="false">IFERROR(AVERAGEIF('2 Import Main'!$C$3:$DB$3,"R",'2 Import Main'!C175:DB175),"")</f>
        <v/>
      </c>
      <c r="E175" s="20" t="n">
        <f aca="false">IFERROR(MAX('2 Import Main'!C175:DB175),"")</f>
        <v>0</v>
      </c>
      <c r="F175" s="20" t="n">
        <f aca="false">IFERROR(MIN('2 Import Main'!C175:DB175),"")</f>
        <v>0</v>
      </c>
      <c r="G175" s="20" t="str">
        <f aca="false">IF(B175=0,"",IF(E175=F175,1,0))</f>
        <v/>
      </c>
      <c r="H175" s="20" t="n">
        <f aca="false">IF(OR(B175=0,C175="",D175=""),0,IF(OR(AND(C175&gt;=4,D175&gt;=4),AND(C175&lt;=2,D175&lt;=2)),1,0))</f>
        <v>0</v>
      </c>
      <c r="I175" s="20" t="str">
        <f aca="false">IF(B175=0,"",IF(OR(G175=1,H175=1),0,1))</f>
        <v/>
      </c>
    </row>
    <row r="176" customFormat="false" ht="15" hidden="false" customHeight="false" outlineLevel="0" collapsed="false">
      <c r="A176" s="20" t="str">
        <f aca="false">IF(COUNT('2 Import Main'!C176:DB176)=0,"",176)</f>
        <v/>
      </c>
      <c r="B176" s="20" t="n">
        <f aca="false">COUNT('2 Import Main'!C176:DB176)</f>
        <v>0</v>
      </c>
      <c r="C176" s="19" t="str">
        <f aca="false">IFERROR(AVERAGEIF('2 Import Main'!$C$3:$DB$3,"F",'2 Import Main'!C176:DB176),"")</f>
        <v/>
      </c>
      <c r="D176" s="19" t="str">
        <f aca="false">IFERROR(AVERAGEIF('2 Import Main'!$C$3:$DB$3,"R",'2 Import Main'!C176:DB176),"")</f>
        <v/>
      </c>
      <c r="E176" s="20" t="n">
        <f aca="false">IFERROR(MAX('2 Import Main'!C176:DB176),"")</f>
        <v>0</v>
      </c>
      <c r="F176" s="20" t="n">
        <f aca="false">IFERROR(MIN('2 Import Main'!C176:DB176),"")</f>
        <v>0</v>
      </c>
      <c r="G176" s="20" t="str">
        <f aca="false">IF(B176=0,"",IF(E176=F176,1,0))</f>
        <v/>
      </c>
      <c r="H176" s="20" t="n">
        <f aca="false">IF(OR(B176=0,C176="",D176=""),0,IF(OR(AND(C176&gt;=4,D176&gt;=4),AND(C176&lt;=2,D176&lt;=2)),1,0))</f>
        <v>0</v>
      </c>
      <c r="I176" s="20" t="str">
        <f aca="false">IF(B176=0,"",IF(OR(G176=1,H176=1),0,1))</f>
        <v/>
      </c>
    </row>
    <row r="177" customFormat="false" ht="15" hidden="false" customHeight="false" outlineLevel="0" collapsed="false">
      <c r="A177" s="20" t="str">
        <f aca="false">IF(COUNT('2 Import Main'!C177:DB177)=0,"",177)</f>
        <v/>
      </c>
      <c r="B177" s="20" t="n">
        <f aca="false">COUNT('2 Import Main'!C177:DB177)</f>
        <v>0</v>
      </c>
      <c r="C177" s="19" t="str">
        <f aca="false">IFERROR(AVERAGEIF('2 Import Main'!$C$3:$DB$3,"F",'2 Import Main'!C177:DB177),"")</f>
        <v/>
      </c>
      <c r="D177" s="19" t="str">
        <f aca="false">IFERROR(AVERAGEIF('2 Import Main'!$C$3:$DB$3,"R",'2 Import Main'!C177:DB177),"")</f>
        <v/>
      </c>
      <c r="E177" s="20" t="n">
        <f aca="false">IFERROR(MAX('2 Import Main'!C177:DB177),"")</f>
        <v>0</v>
      </c>
      <c r="F177" s="20" t="n">
        <f aca="false">IFERROR(MIN('2 Import Main'!C177:DB177),"")</f>
        <v>0</v>
      </c>
      <c r="G177" s="20" t="str">
        <f aca="false">IF(B177=0,"",IF(E177=F177,1,0))</f>
        <v/>
      </c>
      <c r="H177" s="20" t="n">
        <f aca="false">IF(OR(B177=0,C177="",D177=""),0,IF(OR(AND(C177&gt;=4,D177&gt;=4),AND(C177&lt;=2,D177&lt;=2)),1,0))</f>
        <v>0</v>
      </c>
      <c r="I177" s="20" t="str">
        <f aca="false">IF(B177=0,"",IF(OR(G177=1,H177=1),0,1))</f>
        <v/>
      </c>
    </row>
    <row r="178" customFormat="false" ht="15" hidden="false" customHeight="false" outlineLevel="0" collapsed="false">
      <c r="A178" s="20" t="str">
        <f aca="false">IF(COUNT('2 Import Main'!C178:DB178)=0,"",178)</f>
        <v/>
      </c>
      <c r="B178" s="20" t="n">
        <f aca="false">COUNT('2 Import Main'!C178:DB178)</f>
        <v>0</v>
      </c>
      <c r="C178" s="19" t="str">
        <f aca="false">IFERROR(AVERAGEIF('2 Import Main'!$C$3:$DB$3,"F",'2 Import Main'!C178:DB178),"")</f>
        <v/>
      </c>
      <c r="D178" s="19" t="str">
        <f aca="false">IFERROR(AVERAGEIF('2 Import Main'!$C$3:$DB$3,"R",'2 Import Main'!C178:DB178),"")</f>
        <v/>
      </c>
      <c r="E178" s="20" t="n">
        <f aca="false">IFERROR(MAX('2 Import Main'!C178:DB178),"")</f>
        <v>0</v>
      </c>
      <c r="F178" s="20" t="n">
        <f aca="false">IFERROR(MIN('2 Import Main'!C178:DB178),"")</f>
        <v>0</v>
      </c>
      <c r="G178" s="20" t="str">
        <f aca="false">IF(B178=0,"",IF(E178=F178,1,0))</f>
        <v/>
      </c>
      <c r="H178" s="20" t="n">
        <f aca="false">IF(OR(B178=0,C178="",D178=""),0,IF(OR(AND(C178&gt;=4,D178&gt;=4),AND(C178&lt;=2,D178&lt;=2)),1,0))</f>
        <v>0</v>
      </c>
      <c r="I178" s="20" t="str">
        <f aca="false">IF(B178=0,"",IF(OR(G178=1,H178=1),0,1))</f>
        <v/>
      </c>
    </row>
    <row r="179" customFormat="false" ht="15" hidden="false" customHeight="false" outlineLevel="0" collapsed="false">
      <c r="A179" s="20" t="str">
        <f aca="false">IF(COUNT('2 Import Main'!C179:DB179)=0,"",179)</f>
        <v/>
      </c>
      <c r="B179" s="20" t="n">
        <f aca="false">COUNT('2 Import Main'!C179:DB179)</f>
        <v>0</v>
      </c>
      <c r="C179" s="19" t="str">
        <f aca="false">IFERROR(AVERAGEIF('2 Import Main'!$C$3:$DB$3,"F",'2 Import Main'!C179:DB179),"")</f>
        <v/>
      </c>
      <c r="D179" s="19" t="str">
        <f aca="false">IFERROR(AVERAGEIF('2 Import Main'!$C$3:$DB$3,"R",'2 Import Main'!C179:DB179),"")</f>
        <v/>
      </c>
      <c r="E179" s="20" t="n">
        <f aca="false">IFERROR(MAX('2 Import Main'!C179:DB179),"")</f>
        <v>0</v>
      </c>
      <c r="F179" s="20" t="n">
        <f aca="false">IFERROR(MIN('2 Import Main'!C179:DB179),"")</f>
        <v>0</v>
      </c>
      <c r="G179" s="20" t="str">
        <f aca="false">IF(B179=0,"",IF(E179=F179,1,0))</f>
        <v/>
      </c>
      <c r="H179" s="20" t="n">
        <f aca="false">IF(OR(B179=0,C179="",D179=""),0,IF(OR(AND(C179&gt;=4,D179&gt;=4),AND(C179&lt;=2,D179&lt;=2)),1,0))</f>
        <v>0</v>
      </c>
      <c r="I179" s="20" t="str">
        <f aca="false">IF(B179=0,"",IF(OR(G179=1,H179=1),0,1))</f>
        <v/>
      </c>
    </row>
    <row r="180" customFormat="false" ht="15" hidden="false" customHeight="false" outlineLevel="0" collapsed="false">
      <c r="A180" s="20" t="str">
        <f aca="false">IF(COUNT('2 Import Main'!C180:DB180)=0,"",180)</f>
        <v/>
      </c>
      <c r="B180" s="20" t="n">
        <f aca="false">COUNT('2 Import Main'!C180:DB180)</f>
        <v>0</v>
      </c>
      <c r="C180" s="19" t="str">
        <f aca="false">IFERROR(AVERAGEIF('2 Import Main'!$C$3:$DB$3,"F",'2 Import Main'!C180:DB180),"")</f>
        <v/>
      </c>
      <c r="D180" s="19" t="str">
        <f aca="false">IFERROR(AVERAGEIF('2 Import Main'!$C$3:$DB$3,"R",'2 Import Main'!C180:DB180),"")</f>
        <v/>
      </c>
      <c r="E180" s="20" t="n">
        <f aca="false">IFERROR(MAX('2 Import Main'!C180:DB180),"")</f>
        <v>0</v>
      </c>
      <c r="F180" s="20" t="n">
        <f aca="false">IFERROR(MIN('2 Import Main'!C180:DB180),"")</f>
        <v>0</v>
      </c>
      <c r="G180" s="20" t="str">
        <f aca="false">IF(B180=0,"",IF(E180=F180,1,0))</f>
        <v/>
      </c>
      <c r="H180" s="20" t="n">
        <f aca="false">IF(OR(B180=0,C180="",D180=""),0,IF(OR(AND(C180&gt;=4,D180&gt;=4),AND(C180&lt;=2,D180&lt;=2)),1,0))</f>
        <v>0</v>
      </c>
      <c r="I180" s="20" t="str">
        <f aca="false">IF(B180=0,"",IF(OR(G180=1,H180=1),0,1))</f>
        <v/>
      </c>
    </row>
    <row r="181" customFormat="false" ht="15" hidden="false" customHeight="false" outlineLevel="0" collapsed="false">
      <c r="A181" s="20" t="str">
        <f aca="false">IF(COUNT('2 Import Main'!C181:DB181)=0,"",181)</f>
        <v/>
      </c>
      <c r="B181" s="20" t="n">
        <f aca="false">COUNT('2 Import Main'!C181:DB181)</f>
        <v>0</v>
      </c>
      <c r="C181" s="19" t="str">
        <f aca="false">IFERROR(AVERAGEIF('2 Import Main'!$C$3:$DB$3,"F",'2 Import Main'!C181:DB181),"")</f>
        <v/>
      </c>
      <c r="D181" s="19" t="str">
        <f aca="false">IFERROR(AVERAGEIF('2 Import Main'!$C$3:$DB$3,"R",'2 Import Main'!C181:DB181),"")</f>
        <v/>
      </c>
      <c r="E181" s="20" t="n">
        <f aca="false">IFERROR(MAX('2 Import Main'!C181:DB181),"")</f>
        <v>0</v>
      </c>
      <c r="F181" s="20" t="n">
        <f aca="false">IFERROR(MIN('2 Import Main'!C181:DB181),"")</f>
        <v>0</v>
      </c>
      <c r="G181" s="20" t="str">
        <f aca="false">IF(B181=0,"",IF(E181=F181,1,0))</f>
        <v/>
      </c>
      <c r="H181" s="20" t="n">
        <f aca="false">IF(OR(B181=0,C181="",D181=""),0,IF(OR(AND(C181&gt;=4,D181&gt;=4),AND(C181&lt;=2,D181&lt;=2)),1,0))</f>
        <v>0</v>
      </c>
      <c r="I181" s="20" t="str">
        <f aca="false">IF(B181=0,"",IF(OR(G181=1,H181=1),0,1))</f>
        <v/>
      </c>
    </row>
    <row r="182" customFormat="false" ht="15" hidden="false" customHeight="false" outlineLevel="0" collapsed="false">
      <c r="A182" s="20" t="str">
        <f aca="false">IF(COUNT('2 Import Main'!C182:DB182)=0,"",182)</f>
        <v/>
      </c>
      <c r="B182" s="20" t="n">
        <f aca="false">COUNT('2 Import Main'!C182:DB182)</f>
        <v>0</v>
      </c>
      <c r="C182" s="19" t="str">
        <f aca="false">IFERROR(AVERAGEIF('2 Import Main'!$C$3:$DB$3,"F",'2 Import Main'!C182:DB182),"")</f>
        <v/>
      </c>
      <c r="D182" s="19" t="str">
        <f aca="false">IFERROR(AVERAGEIF('2 Import Main'!$C$3:$DB$3,"R",'2 Import Main'!C182:DB182),"")</f>
        <v/>
      </c>
      <c r="E182" s="20" t="n">
        <f aca="false">IFERROR(MAX('2 Import Main'!C182:DB182),"")</f>
        <v>0</v>
      </c>
      <c r="F182" s="20" t="n">
        <f aca="false">IFERROR(MIN('2 Import Main'!C182:DB182),"")</f>
        <v>0</v>
      </c>
      <c r="G182" s="20" t="str">
        <f aca="false">IF(B182=0,"",IF(E182=F182,1,0))</f>
        <v/>
      </c>
      <c r="H182" s="20" t="n">
        <f aca="false">IF(OR(B182=0,C182="",D182=""),0,IF(OR(AND(C182&gt;=4,D182&gt;=4),AND(C182&lt;=2,D182&lt;=2)),1,0))</f>
        <v>0</v>
      </c>
      <c r="I182" s="20" t="str">
        <f aca="false">IF(B182=0,"",IF(OR(G182=1,H182=1),0,1))</f>
        <v/>
      </c>
    </row>
    <row r="183" customFormat="false" ht="15" hidden="false" customHeight="false" outlineLevel="0" collapsed="false">
      <c r="A183" s="20" t="str">
        <f aca="false">IF(COUNT('2 Import Main'!C183:DB183)=0,"",183)</f>
        <v/>
      </c>
      <c r="B183" s="20" t="n">
        <f aca="false">COUNT('2 Import Main'!C183:DB183)</f>
        <v>0</v>
      </c>
      <c r="C183" s="19" t="str">
        <f aca="false">IFERROR(AVERAGEIF('2 Import Main'!$C$3:$DB$3,"F",'2 Import Main'!C183:DB183),"")</f>
        <v/>
      </c>
      <c r="D183" s="19" t="str">
        <f aca="false">IFERROR(AVERAGEIF('2 Import Main'!$C$3:$DB$3,"R",'2 Import Main'!C183:DB183),"")</f>
        <v/>
      </c>
      <c r="E183" s="20" t="n">
        <f aca="false">IFERROR(MAX('2 Import Main'!C183:DB183),"")</f>
        <v>0</v>
      </c>
      <c r="F183" s="20" t="n">
        <f aca="false">IFERROR(MIN('2 Import Main'!C183:DB183),"")</f>
        <v>0</v>
      </c>
      <c r="G183" s="20" t="str">
        <f aca="false">IF(B183=0,"",IF(E183=F183,1,0))</f>
        <v/>
      </c>
      <c r="H183" s="20" t="n">
        <f aca="false">IF(OR(B183=0,C183="",D183=""),0,IF(OR(AND(C183&gt;=4,D183&gt;=4),AND(C183&lt;=2,D183&lt;=2)),1,0))</f>
        <v>0</v>
      </c>
      <c r="I183" s="20" t="str">
        <f aca="false">IF(B183=0,"",IF(OR(G183=1,H183=1),0,1))</f>
        <v/>
      </c>
    </row>
    <row r="184" customFormat="false" ht="15" hidden="false" customHeight="false" outlineLevel="0" collapsed="false">
      <c r="A184" s="20" t="str">
        <f aca="false">IF(COUNT('2 Import Main'!C184:DB184)=0,"",184)</f>
        <v/>
      </c>
      <c r="B184" s="20" t="n">
        <f aca="false">COUNT('2 Import Main'!C184:DB184)</f>
        <v>0</v>
      </c>
      <c r="C184" s="19" t="str">
        <f aca="false">IFERROR(AVERAGEIF('2 Import Main'!$C$3:$DB$3,"F",'2 Import Main'!C184:DB184),"")</f>
        <v/>
      </c>
      <c r="D184" s="19" t="str">
        <f aca="false">IFERROR(AVERAGEIF('2 Import Main'!$C$3:$DB$3,"R",'2 Import Main'!C184:DB184),"")</f>
        <v/>
      </c>
      <c r="E184" s="20" t="n">
        <f aca="false">IFERROR(MAX('2 Import Main'!C184:DB184),"")</f>
        <v>0</v>
      </c>
      <c r="F184" s="20" t="n">
        <f aca="false">IFERROR(MIN('2 Import Main'!C184:DB184),"")</f>
        <v>0</v>
      </c>
      <c r="G184" s="20" t="str">
        <f aca="false">IF(B184=0,"",IF(E184=F184,1,0))</f>
        <v/>
      </c>
      <c r="H184" s="20" t="n">
        <f aca="false">IF(OR(B184=0,C184="",D184=""),0,IF(OR(AND(C184&gt;=4,D184&gt;=4),AND(C184&lt;=2,D184&lt;=2)),1,0))</f>
        <v>0</v>
      </c>
      <c r="I184" s="20" t="str">
        <f aca="false">IF(B184=0,"",IF(OR(G184=1,H184=1),0,1))</f>
        <v/>
      </c>
    </row>
    <row r="185" customFormat="false" ht="15" hidden="false" customHeight="false" outlineLevel="0" collapsed="false">
      <c r="A185" s="20" t="str">
        <f aca="false">IF(COUNT('2 Import Main'!C185:DB185)=0,"",185)</f>
        <v/>
      </c>
      <c r="B185" s="20" t="n">
        <f aca="false">COUNT('2 Import Main'!C185:DB185)</f>
        <v>0</v>
      </c>
      <c r="C185" s="19" t="str">
        <f aca="false">IFERROR(AVERAGEIF('2 Import Main'!$C$3:$DB$3,"F",'2 Import Main'!C185:DB185),"")</f>
        <v/>
      </c>
      <c r="D185" s="19" t="str">
        <f aca="false">IFERROR(AVERAGEIF('2 Import Main'!$C$3:$DB$3,"R",'2 Import Main'!C185:DB185),"")</f>
        <v/>
      </c>
      <c r="E185" s="20" t="n">
        <f aca="false">IFERROR(MAX('2 Import Main'!C185:DB185),"")</f>
        <v>0</v>
      </c>
      <c r="F185" s="20" t="n">
        <f aca="false">IFERROR(MIN('2 Import Main'!C185:DB185),"")</f>
        <v>0</v>
      </c>
      <c r="G185" s="20" t="str">
        <f aca="false">IF(B185=0,"",IF(E185=F185,1,0))</f>
        <v/>
      </c>
      <c r="H185" s="20" t="n">
        <f aca="false">IF(OR(B185=0,C185="",D185=""),0,IF(OR(AND(C185&gt;=4,D185&gt;=4),AND(C185&lt;=2,D185&lt;=2)),1,0))</f>
        <v>0</v>
      </c>
      <c r="I185" s="20" t="str">
        <f aca="false">IF(B185=0,"",IF(OR(G185=1,H185=1),0,1))</f>
        <v/>
      </c>
    </row>
    <row r="186" customFormat="false" ht="15" hidden="false" customHeight="false" outlineLevel="0" collapsed="false">
      <c r="A186" s="20" t="str">
        <f aca="false">IF(COUNT('2 Import Main'!C186:DB186)=0,"",186)</f>
        <v/>
      </c>
      <c r="B186" s="20" t="n">
        <f aca="false">COUNT('2 Import Main'!C186:DB186)</f>
        <v>0</v>
      </c>
      <c r="C186" s="19" t="str">
        <f aca="false">IFERROR(AVERAGEIF('2 Import Main'!$C$3:$DB$3,"F",'2 Import Main'!C186:DB186),"")</f>
        <v/>
      </c>
      <c r="D186" s="19" t="str">
        <f aca="false">IFERROR(AVERAGEIF('2 Import Main'!$C$3:$DB$3,"R",'2 Import Main'!C186:DB186),"")</f>
        <v/>
      </c>
      <c r="E186" s="20" t="n">
        <f aca="false">IFERROR(MAX('2 Import Main'!C186:DB186),"")</f>
        <v>0</v>
      </c>
      <c r="F186" s="20" t="n">
        <f aca="false">IFERROR(MIN('2 Import Main'!C186:DB186),"")</f>
        <v>0</v>
      </c>
      <c r="G186" s="20" t="str">
        <f aca="false">IF(B186=0,"",IF(E186=F186,1,0))</f>
        <v/>
      </c>
      <c r="H186" s="20" t="n">
        <f aca="false">IF(OR(B186=0,C186="",D186=""),0,IF(OR(AND(C186&gt;=4,D186&gt;=4),AND(C186&lt;=2,D186&lt;=2)),1,0))</f>
        <v>0</v>
      </c>
      <c r="I186" s="20" t="str">
        <f aca="false">IF(B186=0,"",IF(OR(G186=1,H186=1),0,1))</f>
        <v/>
      </c>
    </row>
    <row r="187" customFormat="false" ht="15" hidden="false" customHeight="false" outlineLevel="0" collapsed="false">
      <c r="A187" s="20" t="str">
        <f aca="false">IF(COUNT('2 Import Main'!C187:DB187)=0,"",187)</f>
        <v/>
      </c>
      <c r="B187" s="20" t="n">
        <f aca="false">COUNT('2 Import Main'!C187:DB187)</f>
        <v>0</v>
      </c>
      <c r="C187" s="19" t="str">
        <f aca="false">IFERROR(AVERAGEIF('2 Import Main'!$C$3:$DB$3,"F",'2 Import Main'!C187:DB187),"")</f>
        <v/>
      </c>
      <c r="D187" s="19" t="str">
        <f aca="false">IFERROR(AVERAGEIF('2 Import Main'!$C$3:$DB$3,"R",'2 Import Main'!C187:DB187),"")</f>
        <v/>
      </c>
      <c r="E187" s="20" t="n">
        <f aca="false">IFERROR(MAX('2 Import Main'!C187:DB187),"")</f>
        <v>0</v>
      </c>
      <c r="F187" s="20" t="n">
        <f aca="false">IFERROR(MIN('2 Import Main'!C187:DB187),"")</f>
        <v>0</v>
      </c>
      <c r="G187" s="20" t="str">
        <f aca="false">IF(B187=0,"",IF(E187=F187,1,0))</f>
        <v/>
      </c>
      <c r="H187" s="20" t="n">
        <f aca="false">IF(OR(B187=0,C187="",D187=""),0,IF(OR(AND(C187&gt;=4,D187&gt;=4),AND(C187&lt;=2,D187&lt;=2)),1,0))</f>
        <v>0</v>
      </c>
      <c r="I187" s="20" t="str">
        <f aca="false">IF(B187=0,"",IF(OR(G187=1,H187=1),0,1))</f>
        <v/>
      </c>
    </row>
    <row r="188" customFormat="false" ht="15" hidden="false" customHeight="false" outlineLevel="0" collapsed="false">
      <c r="A188" s="20" t="str">
        <f aca="false">IF(COUNT('2 Import Main'!C188:DB188)=0,"",188)</f>
        <v/>
      </c>
      <c r="B188" s="20" t="n">
        <f aca="false">COUNT('2 Import Main'!C188:DB188)</f>
        <v>0</v>
      </c>
      <c r="C188" s="19" t="str">
        <f aca="false">IFERROR(AVERAGEIF('2 Import Main'!$C$3:$DB$3,"F",'2 Import Main'!C188:DB188),"")</f>
        <v/>
      </c>
      <c r="D188" s="19" t="str">
        <f aca="false">IFERROR(AVERAGEIF('2 Import Main'!$C$3:$DB$3,"R",'2 Import Main'!C188:DB188),"")</f>
        <v/>
      </c>
      <c r="E188" s="20" t="n">
        <f aca="false">IFERROR(MAX('2 Import Main'!C188:DB188),"")</f>
        <v>0</v>
      </c>
      <c r="F188" s="20" t="n">
        <f aca="false">IFERROR(MIN('2 Import Main'!C188:DB188),"")</f>
        <v>0</v>
      </c>
      <c r="G188" s="20" t="str">
        <f aca="false">IF(B188=0,"",IF(E188=F188,1,0))</f>
        <v/>
      </c>
      <c r="H188" s="20" t="n">
        <f aca="false">IF(OR(B188=0,C188="",D188=""),0,IF(OR(AND(C188&gt;=4,D188&gt;=4),AND(C188&lt;=2,D188&lt;=2)),1,0))</f>
        <v>0</v>
      </c>
      <c r="I188" s="20" t="str">
        <f aca="false">IF(B188=0,"",IF(OR(G188=1,H188=1),0,1))</f>
        <v/>
      </c>
    </row>
    <row r="189" customFormat="false" ht="15" hidden="false" customHeight="false" outlineLevel="0" collapsed="false">
      <c r="A189" s="20" t="str">
        <f aca="false">IF(COUNT('2 Import Main'!C189:DB189)=0,"",189)</f>
        <v/>
      </c>
      <c r="B189" s="20" t="n">
        <f aca="false">COUNT('2 Import Main'!C189:DB189)</f>
        <v>0</v>
      </c>
      <c r="C189" s="19" t="str">
        <f aca="false">IFERROR(AVERAGEIF('2 Import Main'!$C$3:$DB$3,"F",'2 Import Main'!C189:DB189),"")</f>
        <v/>
      </c>
      <c r="D189" s="19" t="str">
        <f aca="false">IFERROR(AVERAGEIF('2 Import Main'!$C$3:$DB$3,"R",'2 Import Main'!C189:DB189),"")</f>
        <v/>
      </c>
      <c r="E189" s="20" t="n">
        <f aca="false">IFERROR(MAX('2 Import Main'!C189:DB189),"")</f>
        <v>0</v>
      </c>
      <c r="F189" s="20" t="n">
        <f aca="false">IFERROR(MIN('2 Import Main'!C189:DB189),"")</f>
        <v>0</v>
      </c>
      <c r="G189" s="20" t="str">
        <f aca="false">IF(B189=0,"",IF(E189=F189,1,0))</f>
        <v/>
      </c>
      <c r="H189" s="20" t="n">
        <f aca="false">IF(OR(B189=0,C189="",D189=""),0,IF(OR(AND(C189&gt;=4,D189&gt;=4),AND(C189&lt;=2,D189&lt;=2)),1,0))</f>
        <v>0</v>
      </c>
      <c r="I189" s="20" t="str">
        <f aca="false">IF(B189=0,"",IF(OR(G189=1,H189=1),0,1))</f>
        <v/>
      </c>
    </row>
    <row r="190" customFormat="false" ht="15" hidden="false" customHeight="false" outlineLevel="0" collapsed="false">
      <c r="A190" s="20" t="str">
        <f aca="false">IF(COUNT('2 Import Main'!C190:DB190)=0,"",190)</f>
        <v/>
      </c>
      <c r="B190" s="20" t="n">
        <f aca="false">COUNT('2 Import Main'!C190:DB190)</f>
        <v>0</v>
      </c>
      <c r="C190" s="19" t="str">
        <f aca="false">IFERROR(AVERAGEIF('2 Import Main'!$C$3:$DB$3,"F",'2 Import Main'!C190:DB190),"")</f>
        <v/>
      </c>
      <c r="D190" s="19" t="str">
        <f aca="false">IFERROR(AVERAGEIF('2 Import Main'!$C$3:$DB$3,"R",'2 Import Main'!C190:DB190),"")</f>
        <v/>
      </c>
      <c r="E190" s="20" t="n">
        <f aca="false">IFERROR(MAX('2 Import Main'!C190:DB190),"")</f>
        <v>0</v>
      </c>
      <c r="F190" s="20" t="n">
        <f aca="false">IFERROR(MIN('2 Import Main'!C190:DB190),"")</f>
        <v>0</v>
      </c>
      <c r="G190" s="20" t="str">
        <f aca="false">IF(B190=0,"",IF(E190=F190,1,0))</f>
        <v/>
      </c>
      <c r="H190" s="20" t="n">
        <f aca="false">IF(OR(B190=0,C190="",D190=""),0,IF(OR(AND(C190&gt;=4,D190&gt;=4),AND(C190&lt;=2,D190&lt;=2)),1,0))</f>
        <v>0</v>
      </c>
      <c r="I190" s="20" t="str">
        <f aca="false">IF(B190=0,"",IF(OR(G190=1,H190=1),0,1))</f>
        <v/>
      </c>
    </row>
    <row r="191" customFormat="false" ht="15" hidden="false" customHeight="false" outlineLevel="0" collapsed="false">
      <c r="A191" s="20" t="str">
        <f aca="false">IF(COUNT('2 Import Main'!C191:DB191)=0,"",191)</f>
        <v/>
      </c>
      <c r="B191" s="20" t="n">
        <f aca="false">COUNT('2 Import Main'!C191:DB191)</f>
        <v>0</v>
      </c>
      <c r="C191" s="19" t="str">
        <f aca="false">IFERROR(AVERAGEIF('2 Import Main'!$C$3:$DB$3,"F",'2 Import Main'!C191:DB191),"")</f>
        <v/>
      </c>
      <c r="D191" s="19" t="str">
        <f aca="false">IFERROR(AVERAGEIF('2 Import Main'!$C$3:$DB$3,"R",'2 Import Main'!C191:DB191),"")</f>
        <v/>
      </c>
      <c r="E191" s="20" t="n">
        <f aca="false">IFERROR(MAX('2 Import Main'!C191:DB191),"")</f>
        <v>0</v>
      </c>
      <c r="F191" s="20" t="n">
        <f aca="false">IFERROR(MIN('2 Import Main'!C191:DB191),"")</f>
        <v>0</v>
      </c>
      <c r="G191" s="20" t="str">
        <f aca="false">IF(B191=0,"",IF(E191=F191,1,0))</f>
        <v/>
      </c>
      <c r="H191" s="20" t="n">
        <f aca="false">IF(OR(B191=0,C191="",D191=""),0,IF(OR(AND(C191&gt;=4,D191&gt;=4),AND(C191&lt;=2,D191&lt;=2)),1,0))</f>
        <v>0</v>
      </c>
      <c r="I191" s="20" t="str">
        <f aca="false">IF(B191=0,"",IF(OR(G191=1,H191=1),0,1))</f>
        <v/>
      </c>
    </row>
    <row r="192" customFormat="false" ht="15" hidden="false" customHeight="false" outlineLevel="0" collapsed="false">
      <c r="A192" s="20" t="str">
        <f aca="false">IF(COUNT('2 Import Main'!C192:DB192)=0,"",192)</f>
        <v/>
      </c>
      <c r="B192" s="20" t="n">
        <f aca="false">COUNT('2 Import Main'!C192:DB192)</f>
        <v>0</v>
      </c>
      <c r="C192" s="19" t="str">
        <f aca="false">IFERROR(AVERAGEIF('2 Import Main'!$C$3:$DB$3,"F",'2 Import Main'!C192:DB192),"")</f>
        <v/>
      </c>
      <c r="D192" s="19" t="str">
        <f aca="false">IFERROR(AVERAGEIF('2 Import Main'!$C$3:$DB$3,"R",'2 Import Main'!C192:DB192),"")</f>
        <v/>
      </c>
      <c r="E192" s="20" t="n">
        <f aca="false">IFERROR(MAX('2 Import Main'!C192:DB192),"")</f>
        <v>0</v>
      </c>
      <c r="F192" s="20" t="n">
        <f aca="false">IFERROR(MIN('2 Import Main'!C192:DB192),"")</f>
        <v>0</v>
      </c>
      <c r="G192" s="20" t="str">
        <f aca="false">IF(B192=0,"",IF(E192=F192,1,0))</f>
        <v/>
      </c>
      <c r="H192" s="20" t="n">
        <f aca="false">IF(OR(B192=0,C192="",D192=""),0,IF(OR(AND(C192&gt;=4,D192&gt;=4),AND(C192&lt;=2,D192&lt;=2)),1,0))</f>
        <v>0</v>
      </c>
      <c r="I192" s="20" t="str">
        <f aca="false">IF(B192=0,"",IF(OR(G192=1,H192=1),0,1))</f>
        <v/>
      </c>
    </row>
    <row r="193" customFormat="false" ht="15" hidden="false" customHeight="false" outlineLevel="0" collapsed="false">
      <c r="A193" s="20" t="str">
        <f aca="false">IF(COUNT('2 Import Main'!C193:DB193)=0,"",193)</f>
        <v/>
      </c>
      <c r="B193" s="20" t="n">
        <f aca="false">COUNT('2 Import Main'!C193:DB193)</f>
        <v>0</v>
      </c>
      <c r="C193" s="19" t="str">
        <f aca="false">IFERROR(AVERAGEIF('2 Import Main'!$C$3:$DB$3,"F",'2 Import Main'!C193:DB193),"")</f>
        <v/>
      </c>
      <c r="D193" s="19" t="str">
        <f aca="false">IFERROR(AVERAGEIF('2 Import Main'!$C$3:$DB$3,"R",'2 Import Main'!C193:DB193),"")</f>
        <v/>
      </c>
      <c r="E193" s="20" t="n">
        <f aca="false">IFERROR(MAX('2 Import Main'!C193:DB193),"")</f>
        <v>0</v>
      </c>
      <c r="F193" s="20" t="n">
        <f aca="false">IFERROR(MIN('2 Import Main'!C193:DB193),"")</f>
        <v>0</v>
      </c>
      <c r="G193" s="20" t="str">
        <f aca="false">IF(B193=0,"",IF(E193=F193,1,0))</f>
        <v/>
      </c>
      <c r="H193" s="20" t="n">
        <f aca="false">IF(OR(B193=0,C193="",D193=""),0,IF(OR(AND(C193&gt;=4,D193&gt;=4),AND(C193&lt;=2,D193&lt;=2)),1,0))</f>
        <v>0</v>
      </c>
      <c r="I193" s="20" t="str">
        <f aca="false">IF(B193=0,"",IF(OR(G193=1,H193=1),0,1))</f>
        <v/>
      </c>
    </row>
    <row r="194" customFormat="false" ht="15" hidden="false" customHeight="false" outlineLevel="0" collapsed="false">
      <c r="A194" s="20" t="str">
        <f aca="false">IF(COUNT('2 Import Main'!C194:DB194)=0,"",194)</f>
        <v/>
      </c>
      <c r="B194" s="20" t="n">
        <f aca="false">COUNT('2 Import Main'!C194:DB194)</f>
        <v>0</v>
      </c>
      <c r="C194" s="19" t="str">
        <f aca="false">IFERROR(AVERAGEIF('2 Import Main'!$C$3:$DB$3,"F",'2 Import Main'!C194:DB194),"")</f>
        <v/>
      </c>
      <c r="D194" s="19" t="str">
        <f aca="false">IFERROR(AVERAGEIF('2 Import Main'!$C$3:$DB$3,"R",'2 Import Main'!C194:DB194),"")</f>
        <v/>
      </c>
      <c r="E194" s="20" t="n">
        <f aca="false">IFERROR(MAX('2 Import Main'!C194:DB194),"")</f>
        <v>0</v>
      </c>
      <c r="F194" s="20" t="n">
        <f aca="false">IFERROR(MIN('2 Import Main'!C194:DB194),"")</f>
        <v>0</v>
      </c>
      <c r="G194" s="20" t="str">
        <f aca="false">IF(B194=0,"",IF(E194=F194,1,0))</f>
        <v/>
      </c>
      <c r="H194" s="20" t="n">
        <f aca="false">IF(OR(B194=0,C194="",D194=""),0,IF(OR(AND(C194&gt;=4,D194&gt;=4),AND(C194&lt;=2,D194&lt;=2)),1,0))</f>
        <v>0</v>
      </c>
      <c r="I194" s="20" t="str">
        <f aca="false">IF(B194=0,"",IF(OR(G194=1,H194=1),0,1))</f>
        <v/>
      </c>
    </row>
    <row r="195" customFormat="false" ht="15" hidden="false" customHeight="false" outlineLevel="0" collapsed="false">
      <c r="A195" s="20" t="str">
        <f aca="false">IF(COUNT('2 Import Main'!C195:DB195)=0,"",195)</f>
        <v/>
      </c>
      <c r="B195" s="20" t="n">
        <f aca="false">COUNT('2 Import Main'!C195:DB195)</f>
        <v>0</v>
      </c>
      <c r="C195" s="19" t="str">
        <f aca="false">IFERROR(AVERAGEIF('2 Import Main'!$C$3:$DB$3,"F",'2 Import Main'!C195:DB195),"")</f>
        <v/>
      </c>
      <c r="D195" s="19" t="str">
        <f aca="false">IFERROR(AVERAGEIF('2 Import Main'!$C$3:$DB$3,"R",'2 Import Main'!C195:DB195),"")</f>
        <v/>
      </c>
      <c r="E195" s="20" t="n">
        <f aca="false">IFERROR(MAX('2 Import Main'!C195:DB195),"")</f>
        <v>0</v>
      </c>
      <c r="F195" s="20" t="n">
        <f aca="false">IFERROR(MIN('2 Import Main'!C195:DB195),"")</f>
        <v>0</v>
      </c>
      <c r="G195" s="20" t="str">
        <f aca="false">IF(B195=0,"",IF(E195=F195,1,0))</f>
        <v/>
      </c>
      <c r="H195" s="20" t="n">
        <f aca="false">IF(OR(B195=0,C195="",D195=""),0,IF(OR(AND(C195&gt;=4,D195&gt;=4),AND(C195&lt;=2,D195&lt;=2)),1,0))</f>
        <v>0</v>
      </c>
      <c r="I195" s="20" t="str">
        <f aca="false">IF(B195=0,"",IF(OR(G195=1,H195=1),0,1))</f>
        <v/>
      </c>
    </row>
    <row r="196" customFormat="false" ht="15" hidden="false" customHeight="false" outlineLevel="0" collapsed="false">
      <c r="A196" s="20" t="str">
        <f aca="false">IF(COUNT('2 Import Main'!C196:DB196)=0,"",196)</f>
        <v/>
      </c>
      <c r="B196" s="20" t="n">
        <f aca="false">COUNT('2 Import Main'!C196:DB196)</f>
        <v>0</v>
      </c>
      <c r="C196" s="19" t="str">
        <f aca="false">IFERROR(AVERAGEIF('2 Import Main'!$C$3:$DB$3,"F",'2 Import Main'!C196:DB196),"")</f>
        <v/>
      </c>
      <c r="D196" s="19" t="str">
        <f aca="false">IFERROR(AVERAGEIF('2 Import Main'!$C$3:$DB$3,"R",'2 Import Main'!C196:DB196),"")</f>
        <v/>
      </c>
      <c r="E196" s="20" t="n">
        <f aca="false">IFERROR(MAX('2 Import Main'!C196:DB196),"")</f>
        <v>0</v>
      </c>
      <c r="F196" s="20" t="n">
        <f aca="false">IFERROR(MIN('2 Import Main'!C196:DB196),"")</f>
        <v>0</v>
      </c>
      <c r="G196" s="20" t="str">
        <f aca="false">IF(B196=0,"",IF(E196=F196,1,0))</f>
        <v/>
      </c>
      <c r="H196" s="20" t="n">
        <f aca="false">IF(OR(B196=0,C196="",D196=""),0,IF(OR(AND(C196&gt;=4,D196&gt;=4),AND(C196&lt;=2,D196&lt;=2)),1,0))</f>
        <v>0</v>
      </c>
      <c r="I196" s="20" t="str">
        <f aca="false">IF(B196=0,"",IF(OR(G196=1,H196=1),0,1))</f>
        <v/>
      </c>
    </row>
    <row r="197" customFormat="false" ht="15" hidden="false" customHeight="false" outlineLevel="0" collapsed="false">
      <c r="A197" s="20" t="str">
        <f aca="false">IF(COUNT('2 Import Main'!C197:DB197)=0,"",197)</f>
        <v/>
      </c>
      <c r="B197" s="20" t="n">
        <f aca="false">COUNT('2 Import Main'!C197:DB197)</f>
        <v>0</v>
      </c>
      <c r="C197" s="19" t="str">
        <f aca="false">IFERROR(AVERAGEIF('2 Import Main'!$C$3:$DB$3,"F",'2 Import Main'!C197:DB197),"")</f>
        <v/>
      </c>
      <c r="D197" s="19" t="str">
        <f aca="false">IFERROR(AVERAGEIF('2 Import Main'!$C$3:$DB$3,"R",'2 Import Main'!C197:DB197),"")</f>
        <v/>
      </c>
      <c r="E197" s="20" t="n">
        <f aca="false">IFERROR(MAX('2 Import Main'!C197:DB197),"")</f>
        <v>0</v>
      </c>
      <c r="F197" s="20" t="n">
        <f aca="false">IFERROR(MIN('2 Import Main'!C197:DB197),"")</f>
        <v>0</v>
      </c>
      <c r="G197" s="20" t="str">
        <f aca="false">IF(B197=0,"",IF(E197=F197,1,0))</f>
        <v/>
      </c>
      <c r="H197" s="20" t="n">
        <f aca="false">IF(OR(B197=0,C197="",D197=""),0,IF(OR(AND(C197&gt;=4,D197&gt;=4),AND(C197&lt;=2,D197&lt;=2)),1,0))</f>
        <v>0</v>
      </c>
      <c r="I197" s="20" t="str">
        <f aca="false">IF(B197=0,"",IF(OR(G197=1,H197=1),0,1))</f>
        <v/>
      </c>
    </row>
    <row r="198" customFormat="false" ht="15" hidden="false" customHeight="false" outlineLevel="0" collapsed="false">
      <c r="A198" s="20" t="str">
        <f aca="false">IF(COUNT('2 Import Main'!C198:DB198)=0,"",198)</f>
        <v/>
      </c>
      <c r="B198" s="20" t="n">
        <f aca="false">COUNT('2 Import Main'!C198:DB198)</f>
        <v>0</v>
      </c>
      <c r="C198" s="19" t="str">
        <f aca="false">IFERROR(AVERAGEIF('2 Import Main'!$C$3:$DB$3,"F",'2 Import Main'!C198:DB198),"")</f>
        <v/>
      </c>
      <c r="D198" s="19" t="str">
        <f aca="false">IFERROR(AVERAGEIF('2 Import Main'!$C$3:$DB$3,"R",'2 Import Main'!C198:DB198),"")</f>
        <v/>
      </c>
      <c r="E198" s="20" t="n">
        <f aca="false">IFERROR(MAX('2 Import Main'!C198:DB198),"")</f>
        <v>0</v>
      </c>
      <c r="F198" s="20" t="n">
        <f aca="false">IFERROR(MIN('2 Import Main'!C198:DB198),"")</f>
        <v>0</v>
      </c>
      <c r="G198" s="20" t="str">
        <f aca="false">IF(B198=0,"",IF(E198=F198,1,0))</f>
        <v/>
      </c>
      <c r="H198" s="20" t="n">
        <f aca="false">IF(OR(B198=0,C198="",D198=""),0,IF(OR(AND(C198&gt;=4,D198&gt;=4),AND(C198&lt;=2,D198&lt;=2)),1,0))</f>
        <v>0</v>
      </c>
      <c r="I198" s="20" t="str">
        <f aca="false">IF(B198=0,"",IF(OR(G198=1,H198=1),0,1))</f>
        <v/>
      </c>
    </row>
    <row r="199" customFormat="false" ht="15" hidden="false" customHeight="false" outlineLevel="0" collapsed="false">
      <c r="A199" s="20" t="str">
        <f aca="false">IF(COUNT('2 Import Main'!C199:DB199)=0,"",199)</f>
        <v/>
      </c>
      <c r="B199" s="20" t="n">
        <f aca="false">COUNT('2 Import Main'!C199:DB199)</f>
        <v>0</v>
      </c>
      <c r="C199" s="19" t="str">
        <f aca="false">IFERROR(AVERAGEIF('2 Import Main'!$C$3:$DB$3,"F",'2 Import Main'!C199:DB199),"")</f>
        <v/>
      </c>
      <c r="D199" s="19" t="str">
        <f aca="false">IFERROR(AVERAGEIF('2 Import Main'!$C$3:$DB$3,"R",'2 Import Main'!C199:DB199),"")</f>
        <v/>
      </c>
      <c r="E199" s="20" t="n">
        <f aca="false">IFERROR(MAX('2 Import Main'!C199:DB199),"")</f>
        <v>0</v>
      </c>
      <c r="F199" s="20" t="n">
        <f aca="false">IFERROR(MIN('2 Import Main'!C199:DB199),"")</f>
        <v>0</v>
      </c>
      <c r="G199" s="20" t="str">
        <f aca="false">IF(B199=0,"",IF(E199=F199,1,0))</f>
        <v/>
      </c>
      <c r="H199" s="20" t="n">
        <f aca="false">IF(OR(B199=0,C199="",D199=""),0,IF(OR(AND(C199&gt;=4,D199&gt;=4),AND(C199&lt;=2,D199&lt;=2)),1,0))</f>
        <v>0</v>
      </c>
      <c r="I199" s="20" t="str">
        <f aca="false">IF(B199=0,"",IF(OR(G199=1,H199=1),0,1))</f>
        <v/>
      </c>
    </row>
    <row r="200" customFormat="false" ht="15" hidden="false" customHeight="false" outlineLevel="0" collapsed="false">
      <c r="A200" s="20" t="str">
        <f aca="false">IF(COUNT('2 Import Main'!C200:DB200)=0,"",200)</f>
        <v/>
      </c>
      <c r="B200" s="20" t="n">
        <f aca="false">COUNT('2 Import Main'!C200:DB200)</f>
        <v>0</v>
      </c>
      <c r="C200" s="19" t="str">
        <f aca="false">IFERROR(AVERAGEIF('2 Import Main'!$C$3:$DB$3,"F",'2 Import Main'!C200:DB200),"")</f>
        <v/>
      </c>
      <c r="D200" s="19" t="str">
        <f aca="false">IFERROR(AVERAGEIF('2 Import Main'!$C$3:$DB$3,"R",'2 Import Main'!C200:DB200),"")</f>
        <v/>
      </c>
      <c r="E200" s="20" t="n">
        <f aca="false">IFERROR(MAX('2 Import Main'!C200:DB200),"")</f>
        <v>0</v>
      </c>
      <c r="F200" s="20" t="n">
        <f aca="false">IFERROR(MIN('2 Import Main'!C200:DB200),"")</f>
        <v>0</v>
      </c>
      <c r="G200" s="20" t="str">
        <f aca="false">IF(B200=0,"",IF(E200=F200,1,0))</f>
        <v/>
      </c>
      <c r="H200" s="20" t="n">
        <f aca="false">IF(OR(B200=0,C200="",D200=""),0,IF(OR(AND(C200&gt;=4,D200&gt;=4),AND(C200&lt;=2,D200&lt;=2)),1,0))</f>
        <v>0</v>
      </c>
      <c r="I200" s="20" t="str">
        <f aca="false">IF(B200=0,"",IF(OR(G200=1,H200=1),0,1))</f>
        <v/>
      </c>
    </row>
    <row r="201" customFormat="false" ht="15" hidden="false" customHeight="false" outlineLevel="0" collapsed="false">
      <c r="A201" s="20" t="str">
        <f aca="false">IF(COUNT('2 Import Main'!C201:DB201)=0,"",201)</f>
        <v/>
      </c>
      <c r="B201" s="20" t="n">
        <f aca="false">COUNT('2 Import Main'!C201:DB201)</f>
        <v>0</v>
      </c>
      <c r="C201" s="19" t="str">
        <f aca="false">IFERROR(AVERAGEIF('2 Import Main'!$C$3:$DB$3,"F",'2 Import Main'!C201:DB201),"")</f>
        <v/>
      </c>
      <c r="D201" s="19" t="str">
        <f aca="false">IFERROR(AVERAGEIF('2 Import Main'!$C$3:$DB$3,"R",'2 Import Main'!C201:DB201),"")</f>
        <v/>
      </c>
      <c r="E201" s="20" t="n">
        <f aca="false">IFERROR(MAX('2 Import Main'!C201:DB201),"")</f>
        <v>0</v>
      </c>
      <c r="F201" s="20" t="n">
        <f aca="false">IFERROR(MIN('2 Import Main'!C201:DB201),"")</f>
        <v>0</v>
      </c>
      <c r="G201" s="20" t="str">
        <f aca="false">IF(B201=0,"",IF(E201=F201,1,0))</f>
        <v/>
      </c>
      <c r="H201" s="20" t="n">
        <f aca="false">IF(OR(B201=0,C201="",D201=""),0,IF(OR(AND(C201&gt;=4,D201&gt;=4),AND(C201&lt;=2,D201&lt;=2)),1,0))</f>
        <v>0</v>
      </c>
      <c r="I201" s="20" t="str">
        <f aca="false">IF(B201=0,"",IF(OR(G201=1,H201=1),0,1))</f>
        <v/>
      </c>
    </row>
    <row r="202" customFormat="false" ht="15" hidden="false" customHeight="false" outlineLevel="0" collapsed="false">
      <c r="A202" s="20" t="str">
        <f aca="false">IF(COUNT('2 Import Main'!C202:DB202)=0,"",202)</f>
        <v/>
      </c>
      <c r="B202" s="20" t="n">
        <f aca="false">COUNT('2 Import Main'!C202:DB202)</f>
        <v>0</v>
      </c>
      <c r="C202" s="19" t="str">
        <f aca="false">IFERROR(AVERAGEIF('2 Import Main'!$C$3:$DB$3,"F",'2 Import Main'!C202:DB202),"")</f>
        <v/>
      </c>
      <c r="D202" s="19" t="str">
        <f aca="false">IFERROR(AVERAGEIF('2 Import Main'!$C$3:$DB$3,"R",'2 Import Main'!C202:DB202),"")</f>
        <v/>
      </c>
      <c r="E202" s="20" t="n">
        <f aca="false">IFERROR(MAX('2 Import Main'!C202:DB202),"")</f>
        <v>0</v>
      </c>
      <c r="F202" s="20" t="n">
        <f aca="false">IFERROR(MIN('2 Import Main'!C202:DB202),"")</f>
        <v>0</v>
      </c>
      <c r="G202" s="20" t="str">
        <f aca="false">IF(B202=0,"",IF(E202=F202,1,0))</f>
        <v/>
      </c>
      <c r="H202" s="20" t="n">
        <f aca="false">IF(OR(B202=0,C202="",D202=""),0,IF(OR(AND(C202&gt;=4,D202&gt;=4),AND(C202&lt;=2,D202&lt;=2)),1,0))</f>
        <v>0</v>
      </c>
      <c r="I202" s="20" t="str">
        <f aca="false">IF(B202=0,"",IF(OR(G202=1,H202=1),0,1))</f>
        <v/>
      </c>
    </row>
    <row r="203" customFormat="false" ht="15" hidden="false" customHeight="false" outlineLevel="0" collapsed="false">
      <c r="A203" s="20" t="str">
        <f aca="false">IF(COUNT('2 Import Main'!C203:DB203)=0,"",203)</f>
        <v/>
      </c>
      <c r="B203" s="20" t="n">
        <f aca="false">COUNT('2 Import Main'!C203:DB203)</f>
        <v>0</v>
      </c>
      <c r="C203" s="19" t="str">
        <f aca="false">IFERROR(AVERAGEIF('2 Import Main'!$C$3:$DB$3,"F",'2 Import Main'!C203:DB203),"")</f>
        <v/>
      </c>
      <c r="D203" s="19" t="str">
        <f aca="false">IFERROR(AVERAGEIF('2 Import Main'!$C$3:$DB$3,"R",'2 Import Main'!C203:DB203),"")</f>
        <v/>
      </c>
      <c r="E203" s="20" t="n">
        <f aca="false">IFERROR(MAX('2 Import Main'!C203:DB203),"")</f>
        <v>0</v>
      </c>
      <c r="F203" s="20" t="n">
        <f aca="false">IFERROR(MIN('2 Import Main'!C203:DB203),"")</f>
        <v>0</v>
      </c>
      <c r="G203" s="20" t="str">
        <f aca="false">IF(B203=0,"",IF(E203=F203,1,0))</f>
        <v/>
      </c>
      <c r="H203" s="20" t="n">
        <f aca="false">IF(OR(B203=0,C203="",D203=""),0,IF(OR(AND(C203&gt;=4,D203&gt;=4),AND(C203&lt;=2,D203&lt;=2)),1,0))</f>
        <v>0</v>
      </c>
      <c r="I203" s="20" t="str">
        <f aca="false">IF(B203=0,"",IF(OR(G203=1,H203=1),0,1))</f>
        <v/>
      </c>
    </row>
    <row r="204" customFormat="false" ht="15" hidden="false" customHeight="false" outlineLevel="0" collapsed="false">
      <c r="A204" s="20" t="str">
        <f aca="false">IF(COUNT('2 Import Main'!C204:DB204)=0,"",204)</f>
        <v/>
      </c>
      <c r="B204" s="20" t="n">
        <f aca="false">COUNT('2 Import Main'!C204:DB204)</f>
        <v>0</v>
      </c>
      <c r="C204" s="19" t="str">
        <f aca="false">IFERROR(AVERAGEIF('2 Import Main'!$C$3:$DB$3,"F",'2 Import Main'!C204:DB204),"")</f>
        <v/>
      </c>
      <c r="D204" s="19" t="str">
        <f aca="false">IFERROR(AVERAGEIF('2 Import Main'!$C$3:$DB$3,"R",'2 Import Main'!C204:DB204),"")</f>
        <v/>
      </c>
      <c r="E204" s="20" t="n">
        <f aca="false">IFERROR(MAX('2 Import Main'!C204:DB204),"")</f>
        <v>0</v>
      </c>
      <c r="F204" s="20" t="n">
        <f aca="false">IFERROR(MIN('2 Import Main'!C204:DB204),"")</f>
        <v>0</v>
      </c>
      <c r="G204" s="20" t="str">
        <f aca="false">IF(B204=0,"",IF(E204=F204,1,0))</f>
        <v/>
      </c>
      <c r="H204" s="20" t="n">
        <f aca="false">IF(OR(B204=0,C204="",D204=""),0,IF(OR(AND(C204&gt;=4,D204&gt;=4),AND(C204&lt;=2,D204&lt;=2)),1,0))</f>
        <v>0</v>
      </c>
      <c r="I204" s="20" t="str">
        <f aca="false">IF(B204=0,"",IF(OR(G204=1,H204=1),0,1))</f>
        <v/>
      </c>
    </row>
    <row r="206" customFormat="false" ht="15" hidden="false" customHeight="true" outlineLevel="0" collapsed="false">
      <c r="A206" s="8" t="s">
        <v>219</v>
      </c>
      <c r="B206" s="8"/>
      <c r="C206" s="8"/>
      <c r="D206" s="8"/>
      <c r="E206" s="8"/>
      <c r="F206" s="8"/>
      <c r="G206" s="8"/>
      <c r="H206" s="8"/>
      <c r="I206" s="8"/>
    </row>
    <row r="207" customFormat="false" ht="35.05" hidden="false" customHeight="false" outlineLevel="0" collapsed="false">
      <c r="A207" s="11" t="s">
        <v>220</v>
      </c>
      <c r="B207" s="20" t="n">
        <f aca="false">SUM('7 Screening'!$I$5:$I$204)</f>
        <v>0</v>
      </c>
    </row>
    <row r="208" customFormat="false" ht="35.05" hidden="false" customHeight="false" outlineLevel="0" collapsed="false">
      <c r="A208" s="11" t="s">
        <v>221</v>
      </c>
      <c r="B208" s="20" t="n">
        <f aca="false">COUNT('7 Screening'!$A$5:$A$204)</f>
        <v>0</v>
      </c>
    </row>
    <row r="209" customFormat="false" ht="35.05" hidden="false" customHeight="false" outlineLevel="0" collapsed="false">
      <c r="A209" s="11" t="s">
        <v>222</v>
      </c>
      <c r="B209" s="20" t="n">
        <f aca="false">'7 Screening'!$B$208-'7 Screening'!$B$207</f>
        <v>0</v>
      </c>
    </row>
    <row r="210" customFormat="false" ht="23.85" hidden="false" customHeight="false" outlineLevel="0" collapsed="false">
      <c r="A210" s="11" t="s">
        <v>223</v>
      </c>
      <c r="B210" s="23" t="str">
        <f aca="false">IF('7 Screening'!$B$208=0,"",'7 Screening'!$B$209/'7 Screening'!$B$208)</f>
        <v/>
      </c>
    </row>
    <row r="211" customFormat="false" ht="46.25" hidden="false" customHeight="false" outlineLevel="0" collapsed="false">
      <c r="A211" s="14" t="s">
        <v>224</v>
      </c>
      <c r="B211" s="6" t="str">
        <f aca="false">IF('1 Setup &amp; Keys'!$B$20="","",IF('7 Screening'!$B$208&gt;'1 Setup &amp; Keys'!$B$20,"CHECK: responses exceed headcount","ok"))</f>
        <v/>
      </c>
      <c r="C211" s="6"/>
      <c r="D211" s="6"/>
      <c r="E211" s="6"/>
    </row>
  </sheetData>
  <sheetProtection sheet="true" formatCells="false" formatColumns="false" formatRows="false"/>
  <mergeCells count="4">
    <mergeCell ref="A1:I1"/>
    <mergeCell ref="A2:I2"/>
    <mergeCell ref="A206:I206"/>
    <mergeCell ref="B211:E2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18" min="4" style="0" width="8"/>
  </cols>
  <sheetData>
    <row r="1" customFormat="false" ht="25.5" hidden="false" customHeight="true" outlineLevel="0" collapsed="false">
      <c r="A1" s="1" t="s">
        <v>225</v>
      </c>
      <c r="B1" s="1"/>
      <c r="C1" s="1"/>
      <c r="D1" s="1"/>
      <c r="E1" s="1"/>
      <c r="F1" s="1"/>
    </row>
    <row r="2" customFormat="false" ht="13.5" hidden="false" customHeight="true" outlineLevel="0" collapsed="false">
      <c r="A2" s="2" t="s">
        <v>226</v>
      </c>
      <c r="B2" s="2"/>
      <c r="C2" s="2"/>
      <c r="D2" s="2"/>
      <c r="E2" s="2"/>
      <c r="F2" s="2"/>
    </row>
    <row r="4" customFormat="false" ht="22.35" hidden="false" customHeight="false" outlineLevel="0" collapsed="false">
      <c r="A4" s="15" t="s">
        <v>227</v>
      </c>
      <c r="B4" s="15" t="s">
        <v>228</v>
      </c>
      <c r="C4" s="15" t="s">
        <v>229</v>
      </c>
      <c r="D4" s="15" t="s">
        <v>230</v>
      </c>
      <c r="E4" s="15" t="s">
        <v>231</v>
      </c>
      <c r="F4" s="15" t="s">
        <v>232</v>
      </c>
    </row>
    <row r="5" customFormat="false" ht="15" hidden="false" customHeight="false" outlineLevel="0" collapsed="false">
      <c r="A5" s="24" t="s">
        <v>233</v>
      </c>
      <c r="B5" s="24" t="s">
        <v>44</v>
      </c>
      <c r="C5" s="25" t="str">
        <f aca="false">IFERROR(AVERAGEIFS('2 Import Main'!C5:C204,'7 Screening'!$I$5:$I$204,1),"")</f>
        <v/>
      </c>
      <c r="D5" s="26"/>
      <c r="E5" s="27" t="str">
        <f aca="false">IF('1 Setup &amp; Keys'!$B$20="","",IFERROR(COUNTIFS('7 Screening'!$I$5:$I$204,1,'2 Import Main'!C5:C204,"&lt;&gt;")/'1 Setup &amp; Keys'!$B$20,""))</f>
        <v/>
      </c>
      <c r="F5" s="6" t="str">
        <f aca="false">IF($E$5="","",IF($E$5&lt;Reference!$B$5,"LOW",""))</f>
        <v/>
      </c>
    </row>
    <row r="6" customFormat="false" ht="15" hidden="false" customHeight="false" outlineLevel="0" collapsed="false">
      <c r="A6" s="24" t="s">
        <v>233</v>
      </c>
      <c r="B6" s="24" t="s">
        <v>45</v>
      </c>
      <c r="C6" s="25" t="str">
        <f aca="false">IFERROR(AVERAGEIFS('2 Import Main'!D5:D204,'7 Screening'!$I$5:$I$204,1),"")</f>
        <v/>
      </c>
      <c r="D6" s="26"/>
      <c r="E6" s="28"/>
      <c r="F6" s="28"/>
    </row>
    <row r="7" customFormat="false" ht="15" hidden="false" customHeight="false" outlineLevel="0" collapsed="false">
      <c r="A7" s="24" t="s">
        <v>233</v>
      </c>
      <c r="B7" s="24" t="s">
        <v>46</v>
      </c>
      <c r="C7" s="25" t="str">
        <f aca="false">IFERROR(AVERAGEIFS('2 Import Main'!E5:E204,'7 Screening'!$I$5:$I$204,1),"")</f>
        <v/>
      </c>
      <c r="D7" s="26"/>
      <c r="E7" s="28"/>
      <c r="F7" s="28"/>
    </row>
    <row r="8" customFormat="false" ht="15" hidden="false" customHeight="false" outlineLevel="0" collapsed="false">
      <c r="A8" s="24" t="s">
        <v>233</v>
      </c>
      <c r="B8" s="24" t="s">
        <v>47</v>
      </c>
      <c r="C8" s="25" t="str">
        <f aca="false">IFERROR(AVERAGEIFS('2 Import Main'!F5:F204,'7 Screening'!$I$5:$I$204,1),"")</f>
        <v/>
      </c>
      <c r="D8" s="26"/>
      <c r="E8" s="28"/>
      <c r="F8" s="28"/>
    </row>
    <row r="9" customFormat="false" ht="15" hidden="false" customHeight="false" outlineLevel="0" collapsed="false">
      <c r="A9" s="24" t="s">
        <v>233</v>
      </c>
      <c r="B9" s="24" t="s">
        <v>48</v>
      </c>
      <c r="C9" s="25" t="str">
        <f aca="false">IFERROR(AVERAGEIFS('2 Import Main'!G5:G204,'7 Screening'!$I$5:$I$204,1),"")</f>
        <v/>
      </c>
      <c r="D9" s="26" t="s">
        <v>42</v>
      </c>
      <c r="E9" s="28"/>
      <c r="F9" s="28"/>
    </row>
    <row r="10" customFormat="false" ht="15" hidden="false" customHeight="false" outlineLevel="0" collapsed="false">
      <c r="A10" s="24" t="s">
        <v>233</v>
      </c>
      <c r="B10" s="24" t="s">
        <v>49</v>
      </c>
      <c r="C10" s="25" t="str">
        <f aca="false">IFERROR(AVERAGEIFS('2 Import Main'!H5:H204,'7 Screening'!$I$5:$I$204,1),"")</f>
        <v/>
      </c>
      <c r="D10" s="26"/>
      <c r="E10" s="28"/>
      <c r="F10" s="28"/>
    </row>
    <row r="11" customFormat="false" ht="15" hidden="false" customHeight="false" outlineLevel="0" collapsed="false">
      <c r="A11" s="24" t="s">
        <v>233</v>
      </c>
      <c r="B11" s="24" t="s">
        <v>50</v>
      </c>
      <c r="C11" s="25" t="str">
        <f aca="false">IFERROR(AVERAGEIFS('2 Import Main'!I5:I204,'7 Screening'!$I$5:$I$204,1),"")</f>
        <v/>
      </c>
      <c r="D11" s="26"/>
      <c r="E11" s="28"/>
      <c r="F11" s="28"/>
    </row>
    <row r="12" customFormat="false" ht="15" hidden="false" customHeight="false" outlineLevel="0" collapsed="false">
      <c r="A12" s="24" t="s">
        <v>233</v>
      </c>
      <c r="B12" s="24" t="s">
        <v>51</v>
      </c>
      <c r="C12" s="25" t="str">
        <f aca="false">IFERROR(AVERAGEIFS('2 Import Main'!J5:J204,'7 Screening'!$I$5:$I$204,1),"")</f>
        <v/>
      </c>
      <c r="D12" s="26"/>
      <c r="E12" s="28"/>
      <c r="F12" s="28"/>
    </row>
    <row r="13" customFormat="false" ht="15" hidden="false" customHeight="false" outlineLevel="0" collapsed="false">
      <c r="A13" s="24" t="s">
        <v>233</v>
      </c>
      <c r="B13" s="24" t="s">
        <v>52</v>
      </c>
      <c r="C13" s="25" t="str">
        <f aca="false">IFERROR(AVERAGEIFS('2 Import Main'!K5:K204,'7 Screening'!$I$5:$I$204,1),"")</f>
        <v/>
      </c>
      <c r="D13" s="26"/>
      <c r="E13" s="28"/>
      <c r="F13" s="28"/>
    </row>
    <row r="14" customFormat="false" ht="15" hidden="false" customHeight="false" outlineLevel="0" collapsed="false">
      <c r="A14" s="24" t="s">
        <v>233</v>
      </c>
      <c r="B14" s="24" t="s">
        <v>53</v>
      </c>
      <c r="C14" s="25" t="str">
        <f aca="false">IFERROR(AVERAGEIFS('2 Import Main'!L5:L204,'7 Screening'!$I$5:$I$204,1),"")</f>
        <v/>
      </c>
      <c r="D14" s="26" t="s">
        <v>42</v>
      </c>
      <c r="E14" s="28"/>
      <c r="F14" s="28"/>
    </row>
    <row r="15" customFormat="false" ht="15" hidden="false" customHeight="false" outlineLevel="0" collapsed="false">
      <c r="A15" s="24" t="s">
        <v>233</v>
      </c>
      <c r="B15" s="24" t="s">
        <v>54</v>
      </c>
      <c r="C15" s="25" t="str">
        <f aca="false">IFERROR(AVERAGEIFS('2 Import Main'!M5:M204,'7 Screening'!$I$5:$I$204,1),"")</f>
        <v/>
      </c>
      <c r="D15" s="26"/>
      <c r="E15" s="28"/>
      <c r="F15" s="28"/>
    </row>
    <row r="16" customFormat="false" ht="15" hidden="false" customHeight="false" outlineLevel="0" collapsed="false">
      <c r="A16" s="24" t="s">
        <v>233</v>
      </c>
      <c r="B16" s="24" t="s">
        <v>55</v>
      </c>
      <c r="C16" s="25" t="str">
        <f aca="false">IFERROR(AVERAGEIFS('2 Import Main'!N5:N204,'7 Screening'!$I$5:$I$204,1),"")</f>
        <v/>
      </c>
      <c r="D16" s="26"/>
      <c r="E16" s="28"/>
      <c r="F16" s="28"/>
    </row>
    <row r="17" customFormat="false" ht="15" hidden="false" customHeight="false" outlineLevel="0" collapsed="false">
      <c r="A17" s="24" t="s">
        <v>233</v>
      </c>
      <c r="B17" s="24" t="s">
        <v>56</v>
      </c>
      <c r="C17" s="25" t="str">
        <f aca="false">IFERROR(AVERAGEIFS('2 Import Main'!O5:O204,'7 Screening'!$I$5:$I$204,1),"")</f>
        <v/>
      </c>
      <c r="D17" s="26"/>
      <c r="E17" s="28"/>
      <c r="F17" s="28"/>
    </row>
    <row r="18" customFormat="false" ht="15" hidden="false" customHeight="false" outlineLevel="0" collapsed="false">
      <c r="A18" s="24" t="s">
        <v>233</v>
      </c>
      <c r="B18" s="24" t="s">
        <v>57</v>
      </c>
      <c r="C18" s="25" t="str">
        <f aca="false">IFERROR(AVERAGEIFS('2 Import Main'!P5:P204,'7 Screening'!$I$5:$I$204,1),"")</f>
        <v/>
      </c>
      <c r="D18" s="26"/>
      <c r="E18" s="28"/>
      <c r="F18" s="28"/>
    </row>
    <row r="19" customFormat="false" ht="15" hidden="false" customHeight="false" outlineLevel="0" collapsed="false">
      <c r="A19" s="24" t="s">
        <v>233</v>
      </c>
      <c r="B19" s="24" t="s">
        <v>58</v>
      </c>
      <c r="C19" s="25" t="str">
        <f aca="false">IFERROR(AVERAGEIFS('2 Import Main'!Q5:Q204,'7 Screening'!$I$5:$I$204,1),"")</f>
        <v/>
      </c>
      <c r="D19" s="26" t="s">
        <v>42</v>
      </c>
      <c r="E19" s="28"/>
      <c r="F19" s="28"/>
    </row>
    <row r="20" customFormat="false" ht="15" hidden="false" customHeight="false" outlineLevel="0" collapsed="false">
      <c r="A20" s="24" t="s">
        <v>234</v>
      </c>
      <c r="B20" s="24" t="s">
        <v>59</v>
      </c>
      <c r="C20" s="25" t="str">
        <f aca="false">IFERROR(AVERAGEIFS('2 Import Main'!R5:R204,'7 Screening'!$I$5:$I$204,1),"")</f>
        <v/>
      </c>
      <c r="D20" s="26"/>
      <c r="E20" s="27" t="str">
        <f aca="false">IF('1 Setup &amp; Keys'!$B$20="","",IFERROR(COUNTIFS('7 Screening'!$I$5:$I$204,1,'2 Import Main'!R5:R204,"&lt;&gt;")/'1 Setup &amp; Keys'!$B$20,""))</f>
        <v/>
      </c>
      <c r="F20" s="6" t="str">
        <f aca="false">IF($E$20="","",IF($E$20&lt;Reference!$B$5,"LOW",""))</f>
        <v/>
      </c>
    </row>
    <row r="21" customFormat="false" ht="15" hidden="false" customHeight="false" outlineLevel="0" collapsed="false">
      <c r="A21" s="24" t="s">
        <v>234</v>
      </c>
      <c r="B21" s="24" t="s">
        <v>60</v>
      </c>
      <c r="C21" s="25" t="str">
        <f aca="false">IFERROR(AVERAGEIFS('2 Import Main'!S5:S204,'7 Screening'!$I$5:$I$204,1),"")</f>
        <v/>
      </c>
      <c r="D21" s="26"/>
      <c r="E21" s="28"/>
      <c r="F21" s="28"/>
    </row>
    <row r="22" customFormat="false" ht="15" hidden="false" customHeight="false" outlineLevel="0" collapsed="false">
      <c r="A22" s="24" t="s">
        <v>234</v>
      </c>
      <c r="B22" s="24" t="s">
        <v>61</v>
      </c>
      <c r="C22" s="25" t="str">
        <f aca="false">IFERROR(AVERAGEIFS('2 Import Main'!T5:T204,'7 Screening'!$I$5:$I$204,1),"")</f>
        <v/>
      </c>
      <c r="D22" s="26"/>
      <c r="E22" s="28"/>
      <c r="F22" s="28"/>
    </row>
    <row r="23" customFormat="false" ht="15" hidden="false" customHeight="false" outlineLevel="0" collapsed="false">
      <c r="A23" s="24" t="s">
        <v>234</v>
      </c>
      <c r="B23" s="24" t="s">
        <v>62</v>
      </c>
      <c r="C23" s="25" t="str">
        <f aca="false">IFERROR(AVERAGEIFS('2 Import Main'!U5:U204,'7 Screening'!$I$5:$I$204,1),"")</f>
        <v/>
      </c>
      <c r="D23" s="26" t="s">
        <v>42</v>
      </c>
      <c r="E23" s="28"/>
      <c r="F23" s="28"/>
    </row>
    <row r="24" customFormat="false" ht="15" hidden="false" customHeight="false" outlineLevel="0" collapsed="false">
      <c r="A24" s="24" t="s">
        <v>234</v>
      </c>
      <c r="B24" s="24" t="s">
        <v>63</v>
      </c>
      <c r="C24" s="25" t="str">
        <f aca="false">IFERROR(AVERAGEIFS('2 Import Main'!V5:V204,'7 Screening'!$I$5:$I$204,1),"")</f>
        <v/>
      </c>
      <c r="D24" s="26"/>
      <c r="E24" s="28"/>
      <c r="F24" s="28"/>
    </row>
    <row r="25" customFormat="false" ht="15" hidden="false" customHeight="false" outlineLevel="0" collapsed="false">
      <c r="A25" s="24" t="s">
        <v>234</v>
      </c>
      <c r="B25" s="24" t="s">
        <v>64</v>
      </c>
      <c r="C25" s="25" t="str">
        <f aca="false">IFERROR(AVERAGEIFS('2 Import Main'!W5:W204,'7 Screening'!$I$5:$I$204,1),"")</f>
        <v/>
      </c>
      <c r="D25" s="26"/>
      <c r="E25" s="28"/>
      <c r="F25" s="28"/>
    </row>
    <row r="26" customFormat="false" ht="15" hidden="false" customHeight="false" outlineLevel="0" collapsed="false">
      <c r="A26" s="24" t="s">
        <v>234</v>
      </c>
      <c r="B26" s="24" t="s">
        <v>65</v>
      </c>
      <c r="C26" s="25" t="str">
        <f aca="false">IFERROR(AVERAGEIFS('2 Import Main'!X5:X204,'7 Screening'!$I$5:$I$204,1),"")</f>
        <v/>
      </c>
      <c r="D26" s="26"/>
      <c r="E26" s="28"/>
      <c r="F26" s="28"/>
    </row>
    <row r="27" customFormat="false" ht="15" hidden="false" customHeight="false" outlineLevel="0" collapsed="false">
      <c r="A27" s="24" t="s">
        <v>234</v>
      </c>
      <c r="B27" s="24" t="s">
        <v>66</v>
      </c>
      <c r="C27" s="25" t="str">
        <f aca="false">IFERROR(AVERAGEIFS('2 Import Main'!Y5:Y204,'7 Screening'!$I$5:$I$204,1),"")</f>
        <v/>
      </c>
      <c r="D27" s="26"/>
      <c r="E27" s="28"/>
      <c r="F27" s="28"/>
    </row>
    <row r="28" customFormat="false" ht="15" hidden="false" customHeight="false" outlineLevel="0" collapsed="false">
      <c r="A28" s="24" t="s">
        <v>235</v>
      </c>
      <c r="B28" s="24" t="s">
        <v>67</v>
      </c>
      <c r="C28" s="25" t="str">
        <f aca="false">IFERROR(AVERAGEIFS('2 Import Main'!Z5:Z204,'7 Screening'!$I$5:$I$204,1),"")</f>
        <v/>
      </c>
      <c r="D28" s="26"/>
      <c r="E28" s="27" t="str">
        <f aca="false">IF('1 Setup &amp; Keys'!$B$20="","",IFERROR(COUNTIFS('7 Screening'!$I$5:$I$204,1,'2 Import Main'!Z5:Z204,"&lt;&gt;")/'1 Setup &amp; Keys'!$B$20,""))</f>
        <v/>
      </c>
      <c r="F28" s="6" t="str">
        <f aca="false">IF($E$28="","",IF($E$28&lt;Reference!$B$5,"LOW",""))</f>
        <v/>
      </c>
    </row>
    <row r="29" customFormat="false" ht="15" hidden="false" customHeight="false" outlineLevel="0" collapsed="false">
      <c r="A29" s="24" t="s">
        <v>235</v>
      </c>
      <c r="B29" s="24" t="s">
        <v>68</v>
      </c>
      <c r="C29" s="25" t="str">
        <f aca="false">IFERROR(AVERAGEIFS('2 Import Main'!AA5:AA204,'7 Screening'!$I$5:$I$204,1),"")</f>
        <v/>
      </c>
      <c r="D29" s="26"/>
      <c r="E29" s="28"/>
      <c r="F29" s="28"/>
    </row>
    <row r="30" customFormat="false" ht="15" hidden="false" customHeight="false" outlineLevel="0" collapsed="false">
      <c r="A30" s="24" t="s">
        <v>235</v>
      </c>
      <c r="B30" s="24" t="s">
        <v>69</v>
      </c>
      <c r="C30" s="25" t="str">
        <f aca="false">IFERROR(AVERAGEIFS('2 Import Main'!AB5:AB204,'7 Screening'!$I$5:$I$204,1),"")</f>
        <v/>
      </c>
      <c r="D30" s="26"/>
      <c r="E30" s="28"/>
      <c r="F30" s="28"/>
    </row>
    <row r="31" customFormat="false" ht="15" hidden="false" customHeight="false" outlineLevel="0" collapsed="false">
      <c r="A31" s="24" t="s">
        <v>235</v>
      </c>
      <c r="B31" s="24" t="s">
        <v>70</v>
      </c>
      <c r="C31" s="25" t="str">
        <f aca="false">IFERROR(AVERAGEIFS('2 Import Main'!AC5:AC204,'7 Screening'!$I$5:$I$204,1),"")</f>
        <v/>
      </c>
      <c r="D31" s="26"/>
      <c r="E31" s="28"/>
      <c r="F31" s="28"/>
    </row>
    <row r="32" customFormat="false" ht="15" hidden="false" customHeight="false" outlineLevel="0" collapsed="false">
      <c r="A32" s="24" t="s">
        <v>235</v>
      </c>
      <c r="B32" s="24" t="s">
        <v>71</v>
      </c>
      <c r="C32" s="25" t="str">
        <f aca="false">IFERROR(AVERAGEIFS('2 Import Main'!AD5:AD204,'7 Screening'!$I$5:$I$204,1),"")</f>
        <v/>
      </c>
      <c r="D32" s="26" t="s">
        <v>42</v>
      </c>
      <c r="E32" s="28"/>
      <c r="F32" s="28"/>
    </row>
    <row r="33" customFormat="false" ht="15" hidden="false" customHeight="false" outlineLevel="0" collapsed="false">
      <c r="A33" s="24" t="s">
        <v>236</v>
      </c>
      <c r="B33" s="24" t="s">
        <v>72</v>
      </c>
      <c r="C33" s="25" t="str">
        <f aca="false">IFERROR(AVERAGEIFS('2 Import Main'!AE5:AE204,'7 Screening'!$I$5:$I$204,1),"")</f>
        <v/>
      </c>
      <c r="D33" s="26"/>
      <c r="E33" s="27" t="str">
        <f aca="false">IF('1 Setup &amp; Keys'!$B$20="","",IFERROR(COUNTIFS('7 Screening'!$I$5:$I$204,1,'2 Import Main'!AE5:AE204,"&lt;&gt;")/'1 Setup &amp; Keys'!$B$20,""))</f>
        <v/>
      </c>
      <c r="F33" s="6" t="str">
        <f aca="false">IF($E$33="","",IF($E$33&lt;Reference!$B$5,"LOW",""))</f>
        <v/>
      </c>
    </row>
    <row r="34" customFormat="false" ht="15" hidden="false" customHeight="false" outlineLevel="0" collapsed="false">
      <c r="A34" s="24" t="s">
        <v>236</v>
      </c>
      <c r="B34" s="24" t="s">
        <v>73</v>
      </c>
      <c r="C34" s="25" t="str">
        <f aca="false">IFERROR(AVERAGEIFS('2 Import Main'!AF5:AF204,'7 Screening'!$I$5:$I$204,1),"")</f>
        <v/>
      </c>
      <c r="D34" s="26"/>
      <c r="E34" s="28"/>
      <c r="F34" s="28"/>
    </row>
    <row r="35" customFormat="false" ht="15" hidden="false" customHeight="false" outlineLevel="0" collapsed="false">
      <c r="A35" s="24" t="s">
        <v>236</v>
      </c>
      <c r="B35" s="24" t="s">
        <v>74</v>
      </c>
      <c r="C35" s="25" t="str">
        <f aca="false">IFERROR(AVERAGEIFS('2 Import Main'!AG5:AG204,'7 Screening'!$I$5:$I$204,1),"")</f>
        <v/>
      </c>
      <c r="D35" s="26"/>
      <c r="E35" s="28"/>
      <c r="F35" s="28"/>
    </row>
    <row r="36" customFormat="false" ht="15" hidden="false" customHeight="false" outlineLevel="0" collapsed="false">
      <c r="A36" s="24" t="s">
        <v>236</v>
      </c>
      <c r="B36" s="24" t="s">
        <v>75</v>
      </c>
      <c r="C36" s="25" t="str">
        <f aca="false">IFERROR(AVERAGEIFS('2 Import Main'!AH5:AH204,'7 Screening'!$I$5:$I$204,1),"")</f>
        <v/>
      </c>
      <c r="D36" s="26" t="s">
        <v>42</v>
      </c>
      <c r="E36" s="28"/>
      <c r="F36" s="28"/>
    </row>
    <row r="37" customFormat="false" ht="15" hidden="false" customHeight="false" outlineLevel="0" collapsed="false">
      <c r="A37" s="24" t="s">
        <v>236</v>
      </c>
      <c r="B37" s="24" t="s">
        <v>76</v>
      </c>
      <c r="C37" s="25" t="str">
        <f aca="false">IFERROR(AVERAGEIFS('2 Import Main'!AI5:AI204,'7 Screening'!$I$5:$I$204,1),"")</f>
        <v/>
      </c>
      <c r="D37" s="26"/>
      <c r="E37" s="28"/>
      <c r="F37" s="28"/>
    </row>
    <row r="38" customFormat="false" ht="15" hidden="false" customHeight="false" outlineLevel="0" collapsed="false">
      <c r="A38" s="24" t="s">
        <v>237</v>
      </c>
      <c r="B38" s="24" t="s">
        <v>77</v>
      </c>
      <c r="C38" s="25" t="str">
        <f aca="false">IFERROR(AVERAGEIFS('2 Import Main'!AJ5:AJ204,'7 Screening'!$I$5:$I$204,1),"")</f>
        <v/>
      </c>
      <c r="D38" s="26"/>
      <c r="E38" s="27" t="str">
        <f aca="false">IF('1 Setup &amp; Keys'!$B$20="","",IFERROR(COUNTIFS('7 Screening'!$I$5:$I$204,1,'2 Import Main'!AJ5:AJ204,"&lt;&gt;")/'1 Setup &amp; Keys'!$B$20,""))</f>
        <v/>
      </c>
      <c r="F38" s="6" t="str">
        <f aca="false">IF($E$38="","",IF($E$38&lt;Reference!$B$5,"LOW",""))</f>
        <v/>
      </c>
    </row>
    <row r="39" customFormat="false" ht="15" hidden="false" customHeight="false" outlineLevel="0" collapsed="false">
      <c r="A39" s="24" t="s">
        <v>237</v>
      </c>
      <c r="B39" s="24" t="s">
        <v>78</v>
      </c>
      <c r="C39" s="25" t="str">
        <f aca="false">IFERROR(AVERAGEIFS('2 Import Main'!AK5:AK204,'7 Screening'!$I$5:$I$204,1),"")</f>
        <v/>
      </c>
      <c r="D39" s="26"/>
      <c r="E39" s="28"/>
      <c r="F39" s="28"/>
    </row>
    <row r="40" customFormat="false" ht="15" hidden="false" customHeight="false" outlineLevel="0" collapsed="false">
      <c r="A40" s="24" t="s">
        <v>237</v>
      </c>
      <c r="B40" s="24" t="s">
        <v>79</v>
      </c>
      <c r="C40" s="25" t="str">
        <f aca="false">IFERROR(AVERAGEIFS('2 Import Main'!AL5:AL204,'7 Screening'!$I$5:$I$204,1),"")</f>
        <v/>
      </c>
      <c r="D40" s="26"/>
      <c r="E40" s="28"/>
      <c r="F40" s="28"/>
    </row>
    <row r="41" customFormat="false" ht="15" hidden="false" customHeight="false" outlineLevel="0" collapsed="false">
      <c r="A41" s="24" t="s">
        <v>237</v>
      </c>
      <c r="B41" s="24" t="s">
        <v>80</v>
      </c>
      <c r="C41" s="25" t="str">
        <f aca="false">IFERROR(AVERAGEIFS('2 Import Main'!AM5:AM204,'7 Screening'!$I$5:$I$204,1),"")</f>
        <v/>
      </c>
      <c r="D41" s="26" t="s">
        <v>42</v>
      </c>
      <c r="E41" s="28"/>
      <c r="F41" s="28"/>
    </row>
    <row r="42" customFormat="false" ht="15" hidden="false" customHeight="false" outlineLevel="0" collapsed="false">
      <c r="A42" s="24" t="s">
        <v>238</v>
      </c>
      <c r="B42" s="24" t="s">
        <v>81</v>
      </c>
      <c r="C42" s="25" t="str">
        <f aca="false">IFERROR(AVERAGEIFS('2 Import Main'!AN5:AN204,'7 Screening'!$I$5:$I$204,1),"")</f>
        <v/>
      </c>
      <c r="D42" s="26"/>
      <c r="E42" s="27" t="str">
        <f aca="false">IF('1 Setup &amp; Keys'!$B$20="","",IFERROR(COUNTIFS('7 Screening'!$I$5:$I$204,1,'2 Import Main'!AN5:AN204,"&lt;&gt;")/'1 Setup &amp; Keys'!$B$20,""))</f>
        <v/>
      </c>
      <c r="F42" s="6" t="str">
        <f aca="false">IF($E$42="","",IF($E$42&lt;Reference!$B$5,"LOW",""))</f>
        <v/>
      </c>
    </row>
    <row r="43" customFormat="false" ht="15" hidden="false" customHeight="false" outlineLevel="0" collapsed="false">
      <c r="A43" s="24" t="s">
        <v>238</v>
      </c>
      <c r="B43" s="24" t="s">
        <v>82</v>
      </c>
      <c r="C43" s="25" t="str">
        <f aca="false">IFERROR(AVERAGEIFS('2 Import Main'!AO5:AO204,'7 Screening'!$I$5:$I$204,1),"")</f>
        <v/>
      </c>
      <c r="D43" s="26"/>
      <c r="E43" s="28"/>
      <c r="F43" s="28"/>
    </row>
    <row r="44" customFormat="false" ht="15" hidden="false" customHeight="false" outlineLevel="0" collapsed="false">
      <c r="A44" s="24" t="s">
        <v>238</v>
      </c>
      <c r="B44" s="24" t="s">
        <v>83</v>
      </c>
      <c r="C44" s="25" t="str">
        <f aca="false">IFERROR(AVERAGEIFS('2 Import Main'!AP5:AP204,'7 Screening'!$I$5:$I$204,1),"")</f>
        <v/>
      </c>
      <c r="D44" s="26"/>
      <c r="E44" s="28"/>
      <c r="F44" s="28"/>
    </row>
    <row r="45" customFormat="false" ht="15" hidden="false" customHeight="false" outlineLevel="0" collapsed="false">
      <c r="A45" s="24" t="s">
        <v>239</v>
      </c>
      <c r="B45" s="24" t="s">
        <v>84</v>
      </c>
      <c r="C45" s="25" t="str">
        <f aca="false">IFERROR(AVERAGEIFS('2 Import Main'!AQ5:AQ204,'7 Screening'!$I$5:$I$204,1),"")</f>
        <v/>
      </c>
      <c r="D45" s="26"/>
      <c r="E45" s="27" t="str">
        <f aca="false">IF('1 Setup &amp; Keys'!$B$20="","",IFERROR(COUNTIFS('7 Screening'!$I$5:$I$204,1,'2 Import Main'!AQ5:AQ204,"&lt;&gt;")/'1 Setup &amp; Keys'!$B$20,""))</f>
        <v/>
      </c>
      <c r="F45" s="6" t="str">
        <f aca="false">IF($E$45="","",IF($E$45&lt;Reference!$B$5,"LOW",""))</f>
        <v/>
      </c>
    </row>
    <row r="46" customFormat="false" ht="15" hidden="false" customHeight="false" outlineLevel="0" collapsed="false">
      <c r="A46" s="24" t="s">
        <v>239</v>
      </c>
      <c r="B46" s="24" t="s">
        <v>85</v>
      </c>
      <c r="C46" s="25" t="str">
        <f aca="false">IFERROR(AVERAGEIFS('2 Import Main'!AR5:AR204,'7 Screening'!$I$5:$I$204,1),"")</f>
        <v/>
      </c>
      <c r="D46" s="26"/>
      <c r="E46" s="28"/>
      <c r="F46" s="28"/>
    </row>
    <row r="47" customFormat="false" ht="15" hidden="false" customHeight="false" outlineLevel="0" collapsed="false">
      <c r="A47" s="24" t="s">
        <v>239</v>
      </c>
      <c r="B47" s="24" t="s">
        <v>86</v>
      </c>
      <c r="C47" s="25" t="str">
        <f aca="false">IFERROR(AVERAGEIFS('2 Import Main'!AS5:AS204,'7 Screening'!$I$5:$I$204,1),"")</f>
        <v/>
      </c>
      <c r="D47" s="26" t="s">
        <v>42</v>
      </c>
      <c r="E47" s="28"/>
      <c r="F47" s="28"/>
    </row>
    <row r="48" customFormat="false" ht="15" hidden="false" customHeight="false" outlineLevel="0" collapsed="false">
      <c r="A48" s="24" t="s">
        <v>239</v>
      </c>
      <c r="B48" s="24" t="s">
        <v>87</v>
      </c>
      <c r="C48" s="25" t="str">
        <f aca="false">IFERROR(AVERAGEIFS('2 Import Main'!AT5:AT204,'7 Screening'!$I$5:$I$204,1),"")</f>
        <v/>
      </c>
      <c r="D48" s="26"/>
      <c r="E48" s="28"/>
      <c r="F48" s="28"/>
    </row>
    <row r="49" customFormat="false" ht="15" hidden="false" customHeight="false" outlineLevel="0" collapsed="false">
      <c r="A49" s="24" t="s">
        <v>239</v>
      </c>
      <c r="B49" s="24" t="s">
        <v>88</v>
      </c>
      <c r="C49" s="25" t="str">
        <f aca="false">IFERROR(AVERAGEIFS('2 Import Main'!AU5:AU204,'7 Screening'!$I$5:$I$204,1),"")</f>
        <v/>
      </c>
      <c r="D49" s="26"/>
      <c r="E49" s="28"/>
      <c r="F49" s="28"/>
    </row>
    <row r="50" customFormat="false" ht="15" hidden="false" customHeight="false" outlineLevel="0" collapsed="false">
      <c r="A50" s="24" t="s">
        <v>239</v>
      </c>
      <c r="B50" s="24" t="s">
        <v>89</v>
      </c>
      <c r="C50" s="25" t="str">
        <f aca="false">IFERROR(AVERAGEIFS('2 Import Main'!AV5:AV204,'7 Screening'!$I$5:$I$204,1),"")</f>
        <v/>
      </c>
      <c r="D50" s="26" t="s">
        <v>42</v>
      </c>
      <c r="E50" s="28"/>
      <c r="F50" s="28"/>
    </row>
    <row r="51" customFormat="false" ht="15" hidden="false" customHeight="false" outlineLevel="0" collapsed="false">
      <c r="A51" s="24" t="s">
        <v>239</v>
      </c>
      <c r="B51" s="24" t="s">
        <v>90</v>
      </c>
      <c r="C51" s="25" t="str">
        <f aca="false">IFERROR(AVERAGEIFS('2 Import Main'!AW5:AW204,'7 Screening'!$I$5:$I$204,1),"")</f>
        <v/>
      </c>
      <c r="D51" s="26"/>
      <c r="E51" s="28"/>
      <c r="F51" s="28"/>
    </row>
    <row r="52" customFormat="false" ht="15" hidden="false" customHeight="false" outlineLevel="0" collapsed="false">
      <c r="A52" s="24" t="s">
        <v>239</v>
      </c>
      <c r="B52" s="24" t="s">
        <v>91</v>
      </c>
      <c r="C52" s="25" t="str">
        <f aca="false">IFERROR(AVERAGEIFS('2 Import Main'!AX5:AX204,'7 Screening'!$I$5:$I$204,1),"")</f>
        <v/>
      </c>
      <c r="D52" s="26"/>
      <c r="E52" s="28"/>
      <c r="F52" s="28"/>
    </row>
    <row r="53" customFormat="false" ht="15" hidden="false" customHeight="false" outlineLevel="0" collapsed="false">
      <c r="A53" s="24" t="s">
        <v>240</v>
      </c>
      <c r="B53" s="24" t="s">
        <v>92</v>
      </c>
      <c r="C53" s="25" t="str">
        <f aca="false">IFERROR(AVERAGEIFS('2 Import Main'!AY5:AY204,'7 Screening'!$I$5:$I$204,1),"")</f>
        <v/>
      </c>
      <c r="D53" s="26"/>
      <c r="E53" s="27" t="str">
        <f aca="false">IF('1 Setup &amp; Keys'!$B$20="","",IFERROR(COUNTIFS('7 Screening'!$I$5:$I$204,1,'2 Import Main'!AY5:AY204,"&lt;&gt;")/'1 Setup &amp; Keys'!$B$20,""))</f>
        <v/>
      </c>
      <c r="F53" s="6" t="str">
        <f aca="false">IF($E$53="","",IF($E$53&lt;Reference!$B$5,"LOW",""))</f>
        <v/>
      </c>
    </row>
    <row r="54" customFormat="false" ht="15" hidden="false" customHeight="false" outlineLevel="0" collapsed="false">
      <c r="A54" s="24" t="s">
        <v>240</v>
      </c>
      <c r="B54" s="24" t="s">
        <v>93</v>
      </c>
      <c r="C54" s="25" t="str">
        <f aca="false">IFERROR(AVERAGEIFS('2 Import Main'!AZ5:AZ204,'7 Screening'!$I$5:$I$204,1),"")</f>
        <v/>
      </c>
      <c r="D54" s="26"/>
      <c r="E54" s="28"/>
      <c r="F54" s="28"/>
    </row>
    <row r="55" customFormat="false" ht="15" hidden="false" customHeight="false" outlineLevel="0" collapsed="false">
      <c r="A55" s="24" t="s">
        <v>240</v>
      </c>
      <c r="B55" s="24" t="s">
        <v>94</v>
      </c>
      <c r="C55" s="25" t="str">
        <f aca="false">IFERROR(AVERAGEIFS('2 Import Main'!BA5:BA204,'7 Screening'!$I$5:$I$204,1),"")</f>
        <v/>
      </c>
      <c r="D55" s="26"/>
      <c r="E55" s="28"/>
      <c r="F55" s="28"/>
    </row>
    <row r="56" customFormat="false" ht="15" hidden="false" customHeight="false" outlineLevel="0" collapsed="false">
      <c r="A56" s="24" t="s">
        <v>240</v>
      </c>
      <c r="B56" s="24" t="s">
        <v>95</v>
      </c>
      <c r="C56" s="25" t="str">
        <f aca="false">IFERROR(AVERAGEIFS('2 Import Main'!BB5:BB204,'7 Screening'!$I$5:$I$204,1),"")</f>
        <v/>
      </c>
      <c r="D56" s="26" t="s">
        <v>42</v>
      </c>
      <c r="E56" s="28"/>
      <c r="F56" s="28"/>
    </row>
    <row r="57" customFormat="false" ht="15" hidden="false" customHeight="false" outlineLevel="0" collapsed="false">
      <c r="A57" s="24" t="s">
        <v>241</v>
      </c>
      <c r="B57" s="24" t="s">
        <v>96</v>
      </c>
      <c r="C57" s="25" t="str">
        <f aca="false">IFERROR(AVERAGEIFS('2 Import Main'!BC5:BC204,'7 Screening'!$I$5:$I$204,1),"")</f>
        <v/>
      </c>
      <c r="D57" s="26"/>
      <c r="E57" s="27" t="str">
        <f aca="false">IF('1 Setup &amp; Keys'!$B$20="","",IFERROR(COUNTIFS('7 Screening'!$I$5:$I$204,1,'2 Import Main'!BC5:BC204,"&lt;&gt;")/'1 Setup &amp; Keys'!$B$20,""))</f>
        <v/>
      </c>
      <c r="F57" s="6" t="str">
        <f aca="false">IF($E$57="","",IF($E$57&lt;Reference!$B$5,"LOW",""))</f>
        <v/>
      </c>
    </row>
    <row r="58" customFormat="false" ht="15" hidden="false" customHeight="false" outlineLevel="0" collapsed="false">
      <c r="A58" s="24" t="s">
        <v>241</v>
      </c>
      <c r="B58" s="24" t="s">
        <v>97</v>
      </c>
      <c r="C58" s="25" t="str">
        <f aca="false">IFERROR(AVERAGEIFS('2 Import Main'!BD5:BD204,'7 Screening'!$I$5:$I$204,1),"")</f>
        <v/>
      </c>
      <c r="D58" s="26"/>
      <c r="E58" s="28"/>
      <c r="F58" s="28"/>
    </row>
    <row r="59" customFormat="false" ht="15" hidden="false" customHeight="false" outlineLevel="0" collapsed="false">
      <c r="A59" s="24" t="s">
        <v>241</v>
      </c>
      <c r="B59" s="24" t="s">
        <v>98</v>
      </c>
      <c r="C59" s="25" t="str">
        <f aca="false">IFERROR(AVERAGEIFS('2 Import Main'!BE5:BE204,'7 Screening'!$I$5:$I$204,1),"")</f>
        <v/>
      </c>
      <c r="D59" s="26"/>
      <c r="E59" s="28"/>
      <c r="F59" s="28"/>
    </row>
    <row r="60" customFormat="false" ht="15" hidden="false" customHeight="false" outlineLevel="0" collapsed="false">
      <c r="A60" s="24" t="s">
        <v>241</v>
      </c>
      <c r="B60" s="24" t="s">
        <v>99</v>
      </c>
      <c r="C60" s="25" t="str">
        <f aca="false">IFERROR(AVERAGEIFS('2 Import Main'!BF5:BF204,'7 Screening'!$I$5:$I$204,1),"")</f>
        <v/>
      </c>
      <c r="D60" s="26"/>
      <c r="E60" s="28"/>
      <c r="F60" s="28"/>
    </row>
    <row r="61" customFormat="false" ht="15" hidden="false" customHeight="false" outlineLevel="0" collapsed="false">
      <c r="A61" s="24" t="s">
        <v>241</v>
      </c>
      <c r="B61" s="24" t="s">
        <v>100</v>
      </c>
      <c r="C61" s="25" t="str">
        <f aca="false">IFERROR(AVERAGEIFS('2 Import Main'!BG5:BG204,'7 Screening'!$I$5:$I$204,1),"")</f>
        <v/>
      </c>
      <c r="D61" s="26" t="s">
        <v>42</v>
      </c>
      <c r="E61" s="28"/>
      <c r="F61" s="28"/>
    </row>
    <row r="62" customFormat="false" ht="15" hidden="false" customHeight="false" outlineLevel="0" collapsed="false">
      <c r="A62" s="24" t="s">
        <v>242</v>
      </c>
      <c r="B62" s="24" t="s">
        <v>101</v>
      </c>
      <c r="C62" s="25" t="str">
        <f aca="false">IFERROR(AVERAGEIFS('2 Import Main'!BH5:BH204,'7 Screening'!$I$5:$I$204,1),"")</f>
        <v/>
      </c>
      <c r="D62" s="26"/>
      <c r="E62" s="27" t="str">
        <f aca="false">IF('1 Setup &amp; Keys'!$B$20="","",IFERROR(COUNTIFS('7 Screening'!$I$5:$I$204,1,'2 Import Main'!BH5:BH204,"&lt;&gt;")/'1 Setup &amp; Keys'!$B$20,""))</f>
        <v/>
      </c>
      <c r="F62" s="6" t="str">
        <f aca="false">IF($E$62="","",IF($E$62&lt;Reference!$B$5,"LOW",""))</f>
        <v/>
      </c>
    </row>
    <row r="63" customFormat="false" ht="15" hidden="false" customHeight="false" outlineLevel="0" collapsed="false">
      <c r="A63" s="24" t="s">
        <v>242</v>
      </c>
      <c r="B63" s="24" t="s">
        <v>102</v>
      </c>
      <c r="C63" s="25" t="str">
        <f aca="false">IFERROR(AVERAGEIFS('2 Import Main'!BI5:BI204,'7 Screening'!$I$5:$I$204,1),"")</f>
        <v/>
      </c>
      <c r="D63" s="26"/>
      <c r="E63" s="28"/>
      <c r="F63" s="28"/>
    </row>
    <row r="64" customFormat="false" ht="15" hidden="false" customHeight="false" outlineLevel="0" collapsed="false">
      <c r="A64" s="24" t="s">
        <v>242</v>
      </c>
      <c r="B64" s="24" t="s">
        <v>103</v>
      </c>
      <c r="C64" s="25" t="str">
        <f aca="false">IFERROR(AVERAGEIFS('2 Import Main'!BJ5:BJ204,'7 Screening'!$I$5:$I$204,1),"")</f>
        <v/>
      </c>
      <c r="D64" s="26" t="s">
        <v>42</v>
      </c>
      <c r="E64" s="28"/>
      <c r="F64" s="28"/>
    </row>
    <row r="65" customFormat="false" ht="15" hidden="false" customHeight="false" outlineLevel="0" collapsed="false">
      <c r="A65" s="24" t="s">
        <v>243</v>
      </c>
      <c r="B65" s="24" t="s">
        <v>104</v>
      </c>
      <c r="C65" s="25" t="str">
        <f aca="false">IFERROR(AVERAGEIFS('2 Import Main'!BK5:BK204,'7 Screening'!$I$5:$I$204,1),"")</f>
        <v/>
      </c>
      <c r="D65" s="26"/>
      <c r="E65" s="27" t="str">
        <f aca="false">IF('1 Setup &amp; Keys'!$B$20="","",IFERROR(COUNTIFS('7 Screening'!$I$5:$I$204,1,'2 Import Main'!BK5:BK204,"&lt;&gt;")/'1 Setup &amp; Keys'!$B$20,""))</f>
        <v/>
      </c>
      <c r="F65" s="6" t="str">
        <f aca="false">IF($E$65="","",IF($E$65&lt;Reference!$B$5,"LOW",""))</f>
        <v/>
      </c>
    </row>
    <row r="66" customFormat="false" ht="15" hidden="false" customHeight="false" outlineLevel="0" collapsed="false">
      <c r="A66" s="24" t="s">
        <v>243</v>
      </c>
      <c r="B66" s="24" t="s">
        <v>105</v>
      </c>
      <c r="C66" s="25" t="str">
        <f aca="false">IFERROR(AVERAGEIFS('2 Import Main'!BL5:BL204,'7 Screening'!$I$5:$I$204,1),"")</f>
        <v/>
      </c>
      <c r="D66" s="26"/>
      <c r="E66" s="28"/>
      <c r="F66" s="28"/>
    </row>
    <row r="67" customFormat="false" ht="15" hidden="false" customHeight="false" outlineLevel="0" collapsed="false">
      <c r="A67" s="24" t="s">
        <v>243</v>
      </c>
      <c r="B67" s="24" t="s">
        <v>106</v>
      </c>
      <c r="C67" s="25" t="str">
        <f aca="false">IFERROR(AVERAGEIFS('2 Import Main'!BM5:BM204,'7 Screening'!$I$5:$I$204,1),"")</f>
        <v/>
      </c>
      <c r="D67" s="26"/>
      <c r="E67" s="28"/>
      <c r="F67" s="28"/>
    </row>
    <row r="68" customFormat="false" ht="15" hidden="false" customHeight="false" outlineLevel="0" collapsed="false">
      <c r="A68" s="24" t="s">
        <v>244</v>
      </c>
      <c r="B68" s="24" t="s">
        <v>107</v>
      </c>
      <c r="C68" s="25" t="str">
        <f aca="false">IFERROR(AVERAGEIFS('2 Import Main'!BN5:BN204,'7 Screening'!$I$5:$I$204,1),"")</f>
        <v/>
      </c>
      <c r="D68" s="26"/>
      <c r="E68" s="27" t="str">
        <f aca="false">IF('1 Setup &amp; Keys'!$B$20="","",IFERROR(COUNTIFS('7 Screening'!$I$5:$I$204,1,'2 Import Main'!BN5:BN204,"&lt;&gt;")/'1 Setup &amp; Keys'!$B$20,""))</f>
        <v/>
      </c>
      <c r="F68" s="6" t="str">
        <f aca="false">IF($E$68="","",IF($E$68&lt;Reference!$B$5,"LOW",""))</f>
        <v/>
      </c>
    </row>
    <row r="69" customFormat="false" ht="15" hidden="false" customHeight="false" outlineLevel="0" collapsed="false">
      <c r="A69" s="24" t="s">
        <v>244</v>
      </c>
      <c r="B69" s="24" t="s">
        <v>108</v>
      </c>
      <c r="C69" s="25" t="str">
        <f aca="false">IFERROR(AVERAGEIFS('2 Import Main'!BO5:BO204,'7 Screening'!$I$5:$I$204,1),"")</f>
        <v/>
      </c>
      <c r="D69" s="26"/>
      <c r="E69" s="28"/>
      <c r="F69" s="28"/>
    </row>
    <row r="70" customFormat="false" ht="15" hidden="false" customHeight="false" outlineLevel="0" collapsed="false">
      <c r="A70" s="24" t="s">
        <v>244</v>
      </c>
      <c r="B70" s="24" t="s">
        <v>109</v>
      </c>
      <c r="C70" s="25" t="str">
        <f aca="false">IFERROR(AVERAGEIFS('2 Import Main'!BP5:BP204,'7 Screening'!$I$5:$I$204,1),"")</f>
        <v/>
      </c>
      <c r="D70" s="26" t="s">
        <v>42</v>
      </c>
      <c r="E70" s="28"/>
      <c r="F70" s="28"/>
    </row>
    <row r="71" customFormat="false" ht="15" hidden="false" customHeight="false" outlineLevel="0" collapsed="false">
      <c r="A71" s="24" t="s">
        <v>245</v>
      </c>
      <c r="B71" s="24" t="s">
        <v>110</v>
      </c>
      <c r="C71" s="25" t="str">
        <f aca="false">IFERROR(AVERAGEIFS('2 Import Main'!BQ5:BQ204,'7 Screening'!$I$5:$I$204,1),"")</f>
        <v/>
      </c>
      <c r="D71" s="26"/>
      <c r="E71" s="27" t="str">
        <f aca="false">IF('1 Setup &amp; Keys'!$B$20="","",IFERROR(COUNTIFS('7 Screening'!$I$5:$I$204,1,'2 Import Main'!BQ5:BQ204,"&lt;&gt;")/'1 Setup &amp; Keys'!$B$20,""))</f>
        <v/>
      </c>
      <c r="F71" s="6" t="str">
        <f aca="false">IF($E$71="","",IF($E$71&lt;Reference!$B$5,"LOW",""))</f>
        <v/>
      </c>
    </row>
    <row r="72" customFormat="false" ht="15" hidden="false" customHeight="false" outlineLevel="0" collapsed="false">
      <c r="A72" s="24" t="s">
        <v>245</v>
      </c>
      <c r="B72" s="24" t="s">
        <v>111</v>
      </c>
      <c r="C72" s="25" t="str">
        <f aca="false">IFERROR(AVERAGEIFS('2 Import Main'!BR5:BR204,'7 Screening'!$I$5:$I$204,1),"")</f>
        <v/>
      </c>
      <c r="D72" s="26"/>
      <c r="E72" s="28"/>
      <c r="F72" s="28"/>
    </row>
    <row r="73" customFormat="false" ht="15" hidden="false" customHeight="false" outlineLevel="0" collapsed="false">
      <c r="A73" s="24" t="s">
        <v>245</v>
      </c>
      <c r="B73" s="24" t="s">
        <v>112</v>
      </c>
      <c r="C73" s="25" t="str">
        <f aca="false">IFERROR(AVERAGEIFS('2 Import Main'!BS5:BS204,'7 Screening'!$I$5:$I$204,1),"")</f>
        <v/>
      </c>
      <c r="D73" s="26"/>
      <c r="E73" s="28"/>
      <c r="F73" s="28"/>
    </row>
    <row r="74" customFormat="false" ht="15" hidden="false" customHeight="false" outlineLevel="0" collapsed="false">
      <c r="A74" s="24" t="s">
        <v>245</v>
      </c>
      <c r="B74" s="24" t="s">
        <v>113</v>
      </c>
      <c r="C74" s="25" t="str">
        <f aca="false">IFERROR(AVERAGEIFS('2 Import Main'!BT5:BT204,'7 Screening'!$I$5:$I$204,1),"")</f>
        <v/>
      </c>
      <c r="D74" s="26" t="s">
        <v>42</v>
      </c>
      <c r="E74" s="28"/>
      <c r="F74" s="28"/>
    </row>
    <row r="75" customFormat="false" ht="15" hidden="false" customHeight="false" outlineLevel="0" collapsed="false">
      <c r="A75" s="24" t="s">
        <v>245</v>
      </c>
      <c r="B75" s="24" t="s">
        <v>114</v>
      </c>
      <c r="C75" s="25" t="str">
        <f aca="false">IFERROR(AVERAGEIFS('2 Import Main'!BU5:BU204,'7 Screening'!$I$5:$I$204,1),"")</f>
        <v/>
      </c>
      <c r="D75" s="26" t="s">
        <v>42</v>
      </c>
      <c r="E75" s="28"/>
      <c r="F75" s="28"/>
    </row>
    <row r="77" customFormat="false" ht="15" hidden="false" customHeight="true" outlineLevel="0" collapsed="false">
      <c r="A77" s="10" t="s">
        <v>246</v>
      </c>
      <c r="B77" s="10"/>
      <c r="C77" s="10"/>
      <c r="D77" s="10"/>
      <c r="E77" s="10"/>
      <c r="F77" s="10"/>
    </row>
    <row r="78" customFormat="false" ht="19.4" hidden="false" customHeight="true" outlineLevel="0" collapsed="false">
      <c r="A78" s="9" t="s">
        <v>247</v>
      </c>
      <c r="B78" s="9"/>
      <c r="C78" s="9"/>
      <c r="D78" s="9"/>
      <c r="E78" s="9"/>
      <c r="F78" s="9"/>
    </row>
    <row r="79" customFormat="false" ht="15" hidden="false" customHeight="false" outlineLevel="0" collapsed="false">
      <c r="A79" s="15" t="s">
        <v>32</v>
      </c>
      <c r="B79" s="15" t="s">
        <v>248</v>
      </c>
      <c r="C79" s="15" t="s">
        <v>249</v>
      </c>
      <c r="D79" s="15" t="s">
        <v>44</v>
      </c>
      <c r="E79" s="15" t="s">
        <v>45</v>
      </c>
      <c r="F79" s="15" t="s">
        <v>46</v>
      </c>
      <c r="G79" s="15" t="s">
        <v>47</v>
      </c>
      <c r="H79" s="15" t="s">
        <v>48</v>
      </c>
      <c r="I79" s="15" t="s">
        <v>49</v>
      </c>
      <c r="J79" s="15" t="s">
        <v>50</v>
      </c>
      <c r="K79" s="15" t="s">
        <v>51</v>
      </c>
      <c r="L79" s="15" t="s">
        <v>52</v>
      </c>
      <c r="M79" s="15" t="s">
        <v>53</v>
      </c>
      <c r="N79" s="15" t="s">
        <v>54</v>
      </c>
      <c r="O79" s="15" t="s">
        <v>55</v>
      </c>
      <c r="P79" s="15" t="s">
        <v>56</v>
      </c>
      <c r="Q79" s="15" t="s">
        <v>57</v>
      </c>
      <c r="R79" s="15" t="s">
        <v>58</v>
      </c>
      <c r="S79" s="15" t="s">
        <v>232</v>
      </c>
    </row>
    <row r="80" customFormat="false" ht="15" hidden="false" customHeight="false" outlineLevel="0" collapsed="false">
      <c r="A80" s="7" t="str">
        <f aca="false">IF('1 Setup &amp; Keys'!$A$32="","",'1 Setup &amp; Keys'!$A$32)</f>
        <v/>
      </c>
      <c r="B80" s="20" t="str">
        <f aca="false">IF('1 Setup &amp; Keys'!$A$32="","",COUNTIFS('7 Screening'!$I$5:$I$204,1,'2 Import Main'!$B$5:$B$204,'1 Setup &amp; Keys'!$A$32))</f>
        <v/>
      </c>
      <c r="C80" s="29" t="str">
        <f aca="false">IF(OR('1 Setup &amp; Keys'!$A$32="",'1 Setup &amp; Keys'!$B$32=""),"",IFERROR(B80/'1 Setup &amp; Keys'!$B$32,""))</f>
        <v/>
      </c>
      <c r="D80" s="19" t="str">
        <f aca="false">IF('1 Setup &amp; Keys'!$A$32="","",IFERROR(AVERAGEIFS('2 Import Main'!C5:C204,'7 Screening'!$I$5:$I$204,1,'2 Import Main'!$B$5:$B$204,'1 Setup &amp; Keys'!$A$32),""))</f>
        <v/>
      </c>
      <c r="E80" s="19" t="str">
        <f aca="false">IF('1 Setup &amp; Keys'!$A$32="","",IFERROR(AVERAGEIFS('2 Import Main'!D5:D204,'7 Screening'!$I$5:$I$204,1,'2 Import Main'!$B$5:$B$204,'1 Setup &amp; Keys'!$A$32),""))</f>
        <v/>
      </c>
      <c r="F80" s="19" t="str">
        <f aca="false">IF('1 Setup &amp; Keys'!$A$32="","",IFERROR(AVERAGEIFS('2 Import Main'!E5:E204,'7 Screening'!$I$5:$I$204,1,'2 Import Main'!$B$5:$B$204,'1 Setup &amp; Keys'!$A$32),""))</f>
        <v/>
      </c>
      <c r="G80" s="19" t="str">
        <f aca="false">IF('1 Setup &amp; Keys'!$A$32="","",IFERROR(AVERAGEIFS('2 Import Main'!F5:F204,'7 Screening'!$I$5:$I$204,1,'2 Import Main'!$B$5:$B$204,'1 Setup &amp; Keys'!$A$32),""))</f>
        <v/>
      </c>
      <c r="H80" s="19" t="str">
        <f aca="false">IF('1 Setup &amp; Keys'!$A$32="","",IFERROR(AVERAGEIFS('2 Import Main'!G5:G204,'7 Screening'!$I$5:$I$204,1,'2 Import Main'!$B$5:$B$204,'1 Setup &amp; Keys'!$A$32),""))</f>
        <v/>
      </c>
      <c r="I80" s="19" t="str">
        <f aca="false">IF('1 Setup &amp; Keys'!$A$32="","",IFERROR(AVERAGEIFS('2 Import Main'!H5:H204,'7 Screening'!$I$5:$I$204,1,'2 Import Main'!$B$5:$B$204,'1 Setup &amp; Keys'!$A$32),""))</f>
        <v/>
      </c>
      <c r="J80" s="19" t="str">
        <f aca="false">IF('1 Setup &amp; Keys'!$A$32="","",IFERROR(AVERAGEIFS('2 Import Main'!I5:I204,'7 Screening'!$I$5:$I$204,1,'2 Import Main'!$B$5:$B$204,'1 Setup &amp; Keys'!$A$32),""))</f>
        <v/>
      </c>
      <c r="K80" s="19" t="str">
        <f aca="false">IF('1 Setup &amp; Keys'!$A$32="","",IFERROR(AVERAGEIFS('2 Import Main'!J5:J204,'7 Screening'!$I$5:$I$204,1,'2 Import Main'!$B$5:$B$204,'1 Setup &amp; Keys'!$A$32),""))</f>
        <v/>
      </c>
      <c r="L80" s="19" t="str">
        <f aca="false">IF('1 Setup &amp; Keys'!$A$32="","",IFERROR(AVERAGEIFS('2 Import Main'!K5:K204,'7 Screening'!$I$5:$I$204,1,'2 Import Main'!$B$5:$B$204,'1 Setup &amp; Keys'!$A$32),""))</f>
        <v/>
      </c>
      <c r="M80" s="19" t="str">
        <f aca="false">IF('1 Setup &amp; Keys'!$A$32="","",IFERROR(AVERAGEIFS('2 Import Main'!L5:L204,'7 Screening'!$I$5:$I$204,1,'2 Import Main'!$B$5:$B$204,'1 Setup &amp; Keys'!$A$32),""))</f>
        <v/>
      </c>
      <c r="N80" s="19" t="str">
        <f aca="false">IF('1 Setup &amp; Keys'!$A$32="","",IFERROR(AVERAGEIFS('2 Import Main'!M5:M204,'7 Screening'!$I$5:$I$204,1,'2 Import Main'!$B$5:$B$204,'1 Setup &amp; Keys'!$A$32),""))</f>
        <v/>
      </c>
      <c r="O80" s="19" t="str">
        <f aca="false">IF('1 Setup &amp; Keys'!$A$32="","",IFERROR(AVERAGEIFS('2 Import Main'!N5:N204,'7 Screening'!$I$5:$I$204,1,'2 Import Main'!$B$5:$B$204,'1 Setup &amp; Keys'!$A$32),""))</f>
        <v/>
      </c>
      <c r="P80" s="19" t="str">
        <f aca="false">IF('1 Setup &amp; Keys'!$A$32="","",IFERROR(AVERAGEIFS('2 Import Main'!O5:O204,'7 Screening'!$I$5:$I$204,1,'2 Import Main'!$B$5:$B$204,'1 Setup &amp; Keys'!$A$32),""))</f>
        <v/>
      </c>
      <c r="Q80" s="19" t="str">
        <f aca="false">IF('1 Setup &amp; Keys'!$A$32="","",IFERROR(AVERAGEIFS('2 Import Main'!P5:P204,'7 Screening'!$I$5:$I$204,1,'2 Import Main'!$B$5:$B$204,'1 Setup &amp; Keys'!$A$32),""))</f>
        <v/>
      </c>
      <c r="R80" s="19" t="str">
        <f aca="false">IF('1 Setup &amp; Keys'!$A$32="","",IFERROR(AVERAGEIFS('2 Import Main'!Q5:Q204,'7 Screening'!$I$5:$I$204,1,'2 Import Main'!$B$5:$B$204,'1 Setup &amp; Keys'!$A$32),""))</f>
        <v/>
      </c>
      <c r="S80" s="6" t="str">
        <f aca="false">IF('1 Setup &amp; Keys'!$A$32="","",IF(OR(B80&lt;Reference!$B$11,IF(C80="",FALSE(),C80&lt;Reference!$B$10)),"LOW",""))</f>
        <v/>
      </c>
    </row>
    <row r="81" customFormat="false" ht="15" hidden="false" customHeight="false" outlineLevel="0" collapsed="false">
      <c r="A81" s="7" t="str">
        <f aca="false">IF('1 Setup &amp; Keys'!$A$33="","",'1 Setup &amp; Keys'!$A$33)</f>
        <v/>
      </c>
      <c r="B81" s="20" t="str">
        <f aca="false">IF('1 Setup &amp; Keys'!$A$33="","",COUNTIFS('7 Screening'!$I$5:$I$204,1,'2 Import Main'!$B$5:$B$204,'1 Setup &amp; Keys'!$A$33))</f>
        <v/>
      </c>
      <c r="C81" s="29" t="str">
        <f aca="false">IF(OR('1 Setup &amp; Keys'!$A$33="",'1 Setup &amp; Keys'!$B$33=""),"",IFERROR(B81/'1 Setup &amp; Keys'!$B$33,""))</f>
        <v/>
      </c>
      <c r="D81" s="19" t="str">
        <f aca="false">IF('1 Setup &amp; Keys'!$A$33="","",IFERROR(AVERAGEIFS('2 Import Main'!C5:C204,'7 Screening'!$I$5:$I$204,1,'2 Import Main'!$B$5:$B$204,'1 Setup &amp; Keys'!$A$33),""))</f>
        <v/>
      </c>
      <c r="E81" s="19" t="str">
        <f aca="false">IF('1 Setup &amp; Keys'!$A$33="","",IFERROR(AVERAGEIFS('2 Import Main'!D5:D204,'7 Screening'!$I$5:$I$204,1,'2 Import Main'!$B$5:$B$204,'1 Setup &amp; Keys'!$A$33),""))</f>
        <v/>
      </c>
      <c r="F81" s="19" t="str">
        <f aca="false">IF('1 Setup &amp; Keys'!$A$33="","",IFERROR(AVERAGEIFS('2 Import Main'!E5:E204,'7 Screening'!$I$5:$I$204,1,'2 Import Main'!$B$5:$B$204,'1 Setup &amp; Keys'!$A$33),""))</f>
        <v/>
      </c>
      <c r="G81" s="19" t="str">
        <f aca="false">IF('1 Setup &amp; Keys'!$A$33="","",IFERROR(AVERAGEIFS('2 Import Main'!F5:F204,'7 Screening'!$I$5:$I$204,1,'2 Import Main'!$B$5:$B$204,'1 Setup &amp; Keys'!$A$33),""))</f>
        <v/>
      </c>
      <c r="H81" s="19" t="str">
        <f aca="false">IF('1 Setup &amp; Keys'!$A$33="","",IFERROR(AVERAGEIFS('2 Import Main'!G5:G204,'7 Screening'!$I$5:$I$204,1,'2 Import Main'!$B$5:$B$204,'1 Setup &amp; Keys'!$A$33),""))</f>
        <v/>
      </c>
      <c r="I81" s="19" t="str">
        <f aca="false">IF('1 Setup &amp; Keys'!$A$33="","",IFERROR(AVERAGEIFS('2 Import Main'!H5:H204,'7 Screening'!$I$5:$I$204,1,'2 Import Main'!$B$5:$B$204,'1 Setup &amp; Keys'!$A$33),""))</f>
        <v/>
      </c>
      <c r="J81" s="19" t="str">
        <f aca="false">IF('1 Setup &amp; Keys'!$A$33="","",IFERROR(AVERAGEIFS('2 Import Main'!I5:I204,'7 Screening'!$I$5:$I$204,1,'2 Import Main'!$B$5:$B$204,'1 Setup &amp; Keys'!$A$33),""))</f>
        <v/>
      </c>
      <c r="K81" s="19" t="str">
        <f aca="false">IF('1 Setup &amp; Keys'!$A$33="","",IFERROR(AVERAGEIFS('2 Import Main'!J5:J204,'7 Screening'!$I$5:$I$204,1,'2 Import Main'!$B$5:$B$204,'1 Setup &amp; Keys'!$A$33),""))</f>
        <v/>
      </c>
      <c r="L81" s="19" t="str">
        <f aca="false">IF('1 Setup &amp; Keys'!$A$33="","",IFERROR(AVERAGEIFS('2 Import Main'!K5:K204,'7 Screening'!$I$5:$I$204,1,'2 Import Main'!$B$5:$B$204,'1 Setup &amp; Keys'!$A$33),""))</f>
        <v/>
      </c>
      <c r="M81" s="19" t="str">
        <f aca="false">IF('1 Setup &amp; Keys'!$A$33="","",IFERROR(AVERAGEIFS('2 Import Main'!L5:L204,'7 Screening'!$I$5:$I$204,1,'2 Import Main'!$B$5:$B$204,'1 Setup &amp; Keys'!$A$33),""))</f>
        <v/>
      </c>
      <c r="N81" s="19" t="str">
        <f aca="false">IF('1 Setup &amp; Keys'!$A$33="","",IFERROR(AVERAGEIFS('2 Import Main'!M5:M204,'7 Screening'!$I$5:$I$204,1,'2 Import Main'!$B$5:$B$204,'1 Setup &amp; Keys'!$A$33),""))</f>
        <v/>
      </c>
      <c r="O81" s="19" t="str">
        <f aca="false">IF('1 Setup &amp; Keys'!$A$33="","",IFERROR(AVERAGEIFS('2 Import Main'!N5:N204,'7 Screening'!$I$5:$I$204,1,'2 Import Main'!$B$5:$B$204,'1 Setup &amp; Keys'!$A$33),""))</f>
        <v/>
      </c>
      <c r="P81" s="19" t="str">
        <f aca="false">IF('1 Setup &amp; Keys'!$A$33="","",IFERROR(AVERAGEIFS('2 Import Main'!O5:O204,'7 Screening'!$I$5:$I$204,1,'2 Import Main'!$B$5:$B$204,'1 Setup &amp; Keys'!$A$33),""))</f>
        <v/>
      </c>
      <c r="Q81" s="19" t="str">
        <f aca="false">IF('1 Setup &amp; Keys'!$A$33="","",IFERROR(AVERAGEIFS('2 Import Main'!P5:P204,'7 Screening'!$I$5:$I$204,1,'2 Import Main'!$B$5:$B$204,'1 Setup &amp; Keys'!$A$33),""))</f>
        <v/>
      </c>
      <c r="R81" s="19" t="str">
        <f aca="false">IF('1 Setup &amp; Keys'!$A$33="","",IFERROR(AVERAGEIFS('2 Import Main'!Q5:Q204,'7 Screening'!$I$5:$I$204,1,'2 Import Main'!$B$5:$B$204,'1 Setup &amp; Keys'!$A$33),""))</f>
        <v/>
      </c>
      <c r="S81" s="6" t="str">
        <f aca="false">IF('1 Setup &amp; Keys'!$A$33="","",IF(OR(B81&lt;Reference!$B$11,IF(C81="",FALSE(),C81&lt;Reference!$B$10)),"LOW",""))</f>
        <v/>
      </c>
    </row>
    <row r="82" customFormat="false" ht="15" hidden="false" customHeight="false" outlineLevel="0" collapsed="false">
      <c r="A82" s="7" t="str">
        <f aca="false">IF('1 Setup &amp; Keys'!$A$34="","",'1 Setup &amp; Keys'!$A$34)</f>
        <v/>
      </c>
      <c r="B82" s="20" t="str">
        <f aca="false">IF('1 Setup &amp; Keys'!$A$34="","",COUNTIFS('7 Screening'!$I$5:$I$204,1,'2 Import Main'!$B$5:$B$204,'1 Setup &amp; Keys'!$A$34))</f>
        <v/>
      </c>
      <c r="C82" s="29" t="str">
        <f aca="false">IF(OR('1 Setup &amp; Keys'!$A$34="",'1 Setup &amp; Keys'!$B$34=""),"",IFERROR(B82/'1 Setup &amp; Keys'!$B$34,""))</f>
        <v/>
      </c>
      <c r="D82" s="19" t="str">
        <f aca="false">IF('1 Setup &amp; Keys'!$A$34="","",IFERROR(AVERAGEIFS('2 Import Main'!C5:C204,'7 Screening'!$I$5:$I$204,1,'2 Import Main'!$B$5:$B$204,'1 Setup &amp; Keys'!$A$34),""))</f>
        <v/>
      </c>
      <c r="E82" s="19" t="str">
        <f aca="false">IF('1 Setup &amp; Keys'!$A$34="","",IFERROR(AVERAGEIFS('2 Import Main'!D5:D204,'7 Screening'!$I$5:$I$204,1,'2 Import Main'!$B$5:$B$204,'1 Setup &amp; Keys'!$A$34),""))</f>
        <v/>
      </c>
      <c r="F82" s="19" t="str">
        <f aca="false">IF('1 Setup &amp; Keys'!$A$34="","",IFERROR(AVERAGEIFS('2 Import Main'!E5:E204,'7 Screening'!$I$5:$I$204,1,'2 Import Main'!$B$5:$B$204,'1 Setup &amp; Keys'!$A$34),""))</f>
        <v/>
      </c>
      <c r="G82" s="19" t="str">
        <f aca="false">IF('1 Setup &amp; Keys'!$A$34="","",IFERROR(AVERAGEIFS('2 Import Main'!F5:F204,'7 Screening'!$I$5:$I$204,1,'2 Import Main'!$B$5:$B$204,'1 Setup &amp; Keys'!$A$34),""))</f>
        <v/>
      </c>
      <c r="H82" s="19" t="str">
        <f aca="false">IF('1 Setup &amp; Keys'!$A$34="","",IFERROR(AVERAGEIFS('2 Import Main'!G5:G204,'7 Screening'!$I$5:$I$204,1,'2 Import Main'!$B$5:$B$204,'1 Setup &amp; Keys'!$A$34),""))</f>
        <v/>
      </c>
      <c r="I82" s="19" t="str">
        <f aca="false">IF('1 Setup &amp; Keys'!$A$34="","",IFERROR(AVERAGEIFS('2 Import Main'!H5:H204,'7 Screening'!$I$5:$I$204,1,'2 Import Main'!$B$5:$B$204,'1 Setup &amp; Keys'!$A$34),""))</f>
        <v/>
      </c>
      <c r="J82" s="19" t="str">
        <f aca="false">IF('1 Setup &amp; Keys'!$A$34="","",IFERROR(AVERAGEIFS('2 Import Main'!I5:I204,'7 Screening'!$I$5:$I$204,1,'2 Import Main'!$B$5:$B$204,'1 Setup &amp; Keys'!$A$34),""))</f>
        <v/>
      </c>
      <c r="K82" s="19" t="str">
        <f aca="false">IF('1 Setup &amp; Keys'!$A$34="","",IFERROR(AVERAGEIFS('2 Import Main'!J5:J204,'7 Screening'!$I$5:$I$204,1,'2 Import Main'!$B$5:$B$204,'1 Setup &amp; Keys'!$A$34),""))</f>
        <v/>
      </c>
      <c r="L82" s="19" t="str">
        <f aca="false">IF('1 Setup &amp; Keys'!$A$34="","",IFERROR(AVERAGEIFS('2 Import Main'!K5:K204,'7 Screening'!$I$5:$I$204,1,'2 Import Main'!$B$5:$B$204,'1 Setup &amp; Keys'!$A$34),""))</f>
        <v/>
      </c>
      <c r="M82" s="19" t="str">
        <f aca="false">IF('1 Setup &amp; Keys'!$A$34="","",IFERROR(AVERAGEIFS('2 Import Main'!L5:L204,'7 Screening'!$I$5:$I$204,1,'2 Import Main'!$B$5:$B$204,'1 Setup &amp; Keys'!$A$34),""))</f>
        <v/>
      </c>
      <c r="N82" s="19" t="str">
        <f aca="false">IF('1 Setup &amp; Keys'!$A$34="","",IFERROR(AVERAGEIFS('2 Import Main'!M5:M204,'7 Screening'!$I$5:$I$204,1,'2 Import Main'!$B$5:$B$204,'1 Setup &amp; Keys'!$A$34),""))</f>
        <v/>
      </c>
      <c r="O82" s="19" t="str">
        <f aca="false">IF('1 Setup &amp; Keys'!$A$34="","",IFERROR(AVERAGEIFS('2 Import Main'!N5:N204,'7 Screening'!$I$5:$I$204,1,'2 Import Main'!$B$5:$B$204,'1 Setup &amp; Keys'!$A$34),""))</f>
        <v/>
      </c>
      <c r="P82" s="19" t="str">
        <f aca="false">IF('1 Setup &amp; Keys'!$A$34="","",IFERROR(AVERAGEIFS('2 Import Main'!O5:O204,'7 Screening'!$I$5:$I$204,1,'2 Import Main'!$B$5:$B$204,'1 Setup &amp; Keys'!$A$34),""))</f>
        <v/>
      </c>
      <c r="Q82" s="19" t="str">
        <f aca="false">IF('1 Setup &amp; Keys'!$A$34="","",IFERROR(AVERAGEIFS('2 Import Main'!P5:P204,'7 Screening'!$I$5:$I$204,1,'2 Import Main'!$B$5:$B$204,'1 Setup &amp; Keys'!$A$34),""))</f>
        <v/>
      </c>
      <c r="R82" s="19" t="str">
        <f aca="false">IF('1 Setup &amp; Keys'!$A$34="","",IFERROR(AVERAGEIFS('2 Import Main'!Q5:Q204,'7 Screening'!$I$5:$I$204,1,'2 Import Main'!$B$5:$B$204,'1 Setup &amp; Keys'!$A$34),""))</f>
        <v/>
      </c>
      <c r="S82" s="6" t="str">
        <f aca="false">IF('1 Setup &amp; Keys'!$A$34="","",IF(OR(B82&lt;Reference!$B$11,IF(C82="",FALSE(),C82&lt;Reference!$B$10)),"LOW",""))</f>
        <v/>
      </c>
    </row>
    <row r="83" customFormat="false" ht="15" hidden="false" customHeight="false" outlineLevel="0" collapsed="false">
      <c r="A83" s="7" t="str">
        <f aca="false">IF('1 Setup &amp; Keys'!$A$35="","",'1 Setup &amp; Keys'!$A$35)</f>
        <v/>
      </c>
      <c r="B83" s="20" t="str">
        <f aca="false">IF('1 Setup &amp; Keys'!$A$35="","",COUNTIFS('7 Screening'!$I$5:$I$204,1,'2 Import Main'!$B$5:$B$204,'1 Setup &amp; Keys'!$A$35))</f>
        <v/>
      </c>
      <c r="C83" s="29" t="str">
        <f aca="false">IF(OR('1 Setup &amp; Keys'!$A$35="",'1 Setup &amp; Keys'!$B$35=""),"",IFERROR(B83/'1 Setup &amp; Keys'!$B$35,""))</f>
        <v/>
      </c>
      <c r="D83" s="19" t="str">
        <f aca="false">IF('1 Setup &amp; Keys'!$A$35="","",IFERROR(AVERAGEIFS('2 Import Main'!C5:C204,'7 Screening'!$I$5:$I$204,1,'2 Import Main'!$B$5:$B$204,'1 Setup &amp; Keys'!$A$35),""))</f>
        <v/>
      </c>
      <c r="E83" s="19" t="str">
        <f aca="false">IF('1 Setup &amp; Keys'!$A$35="","",IFERROR(AVERAGEIFS('2 Import Main'!D5:D204,'7 Screening'!$I$5:$I$204,1,'2 Import Main'!$B$5:$B$204,'1 Setup &amp; Keys'!$A$35),""))</f>
        <v/>
      </c>
      <c r="F83" s="19" t="str">
        <f aca="false">IF('1 Setup &amp; Keys'!$A$35="","",IFERROR(AVERAGEIFS('2 Import Main'!E5:E204,'7 Screening'!$I$5:$I$204,1,'2 Import Main'!$B$5:$B$204,'1 Setup &amp; Keys'!$A$35),""))</f>
        <v/>
      </c>
      <c r="G83" s="19" t="str">
        <f aca="false">IF('1 Setup &amp; Keys'!$A$35="","",IFERROR(AVERAGEIFS('2 Import Main'!F5:F204,'7 Screening'!$I$5:$I$204,1,'2 Import Main'!$B$5:$B$204,'1 Setup &amp; Keys'!$A$35),""))</f>
        <v/>
      </c>
      <c r="H83" s="19" t="str">
        <f aca="false">IF('1 Setup &amp; Keys'!$A$35="","",IFERROR(AVERAGEIFS('2 Import Main'!G5:G204,'7 Screening'!$I$5:$I$204,1,'2 Import Main'!$B$5:$B$204,'1 Setup &amp; Keys'!$A$35),""))</f>
        <v/>
      </c>
      <c r="I83" s="19" t="str">
        <f aca="false">IF('1 Setup &amp; Keys'!$A$35="","",IFERROR(AVERAGEIFS('2 Import Main'!H5:H204,'7 Screening'!$I$5:$I$204,1,'2 Import Main'!$B$5:$B$204,'1 Setup &amp; Keys'!$A$35),""))</f>
        <v/>
      </c>
      <c r="J83" s="19" t="str">
        <f aca="false">IF('1 Setup &amp; Keys'!$A$35="","",IFERROR(AVERAGEIFS('2 Import Main'!I5:I204,'7 Screening'!$I$5:$I$204,1,'2 Import Main'!$B$5:$B$204,'1 Setup &amp; Keys'!$A$35),""))</f>
        <v/>
      </c>
      <c r="K83" s="19" t="str">
        <f aca="false">IF('1 Setup &amp; Keys'!$A$35="","",IFERROR(AVERAGEIFS('2 Import Main'!J5:J204,'7 Screening'!$I$5:$I$204,1,'2 Import Main'!$B$5:$B$204,'1 Setup &amp; Keys'!$A$35),""))</f>
        <v/>
      </c>
      <c r="L83" s="19" t="str">
        <f aca="false">IF('1 Setup &amp; Keys'!$A$35="","",IFERROR(AVERAGEIFS('2 Import Main'!K5:K204,'7 Screening'!$I$5:$I$204,1,'2 Import Main'!$B$5:$B$204,'1 Setup &amp; Keys'!$A$35),""))</f>
        <v/>
      </c>
      <c r="M83" s="19" t="str">
        <f aca="false">IF('1 Setup &amp; Keys'!$A$35="","",IFERROR(AVERAGEIFS('2 Import Main'!L5:L204,'7 Screening'!$I$5:$I$204,1,'2 Import Main'!$B$5:$B$204,'1 Setup &amp; Keys'!$A$35),""))</f>
        <v/>
      </c>
      <c r="N83" s="19" t="str">
        <f aca="false">IF('1 Setup &amp; Keys'!$A$35="","",IFERROR(AVERAGEIFS('2 Import Main'!M5:M204,'7 Screening'!$I$5:$I$204,1,'2 Import Main'!$B$5:$B$204,'1 Setup &amp; Keys'!$A$35),""))</f>
        <v/>
      </c>
      <c r="O83" s="19" t="str">
        <f aca="false">IF('1 Setup &amp; Keys'!$A$35="","",IFERROR(AVERAGEIFS('2 Import Main'!N5:N204,'7 Screening'!$I$5:$I$204,1,'2 Import Main'!$B$5:$B$204,'1 Setup &amp; Keys'!$A$35),""))</f>
        <v/>
      </c>
      <c r="P83" s="19" t="str">
        <f aca="false">IF('1 Setup &amp; Keys'!$A$35="","",IFERROR(AVERAGEIFS('2 Import Main'!O5:O204,'7 Screening'!$I$5:$I$204,1,'2 Import Main'!$B$5:$B$204,'1 Setup &amp; Keys'!$A$35),""))</f>
        <v/>
      </c>
      <c r="Q83" s="19" t="str">
        <f aca="false">IF('1 Setup &amp; Keys'!$A$35="","",IFERROR(AVERAGEIFS('2 Import Main'!P5:P204,'7 Screening'!$I$5:$I$204,1,'2 Import Main'!$B$5:$B$204,'1 Setup &amp; Keys'!$A$35),""))</f>
        <v/>
      </c>
      <c r="R83" s="19" t="str">
        <f aca="false">IF('1 Setup &amp; Keys'!$A$35="","",IFERROR(AVERAGEIFS('2 Import Main'!Q5:Q204,'7 Screening'!$I$5:$I$204,1,'2 Import Main'!$B$5:$B$204,'1 Setup &amp; Keys'!$A$35),""))</f>
        <v/>
      </c>
      <c r="S83" s="6" t="str">
        <f aca="false">IF('1 Setup &amp; Keys'!$A$35="","",IF(OR(B83&lt;Reference!$B$11,IF(C83="",FALSE(),C83&lt;Reference!$B$10)),"LOW",""))</f>
        <v/>
      </c>
    </row>
    <row r="84" customFormat="false" ht="15" hidden="false" customHeight="false" outlineLevel="0" collapsed="false">
      <c r="A84" s="7" t="str">
        <f aca="false">IF('1 Setup &amp; Keys'!$A$36="","",'1 Setup &amp; Keys'!$A$36)</f>
        <v/>
      </c>
      <c r="B84" s="20" t="str">
        <f aca="false">IF('1 Setup &amp; Keys'!$A$36="","",COUNTIFS('7 Screening'!$I$5:$I$204,1,'2 Import Main'!$B$5:$B$204,'1 Setup &amp; Keys'!$A$36))</f>
        <v/>
      </c>
      <c r="C84" s="29" t="str">
        <f aca="false">IF(OR('1 Setup &amp; Keys'!$A$36="",'1 Setup &amp; Keys'!$B$36=""),"",IFERROR(B84/'1 Setup &amp; Keys'!$B$36,""))</f>
        <v/>
      </c>
      <c r="D84" s="19" t="str">
        <f aca="false">IF('1 Setup &amp; Keys'!$A$36="","",IFERROR(AVERAGEIFS('2 Import Main'!C5:C204,'7 Screening'!$I$5:$I$204,1,'2 Import Main'!$B$5:$B$204,'1 Setup &amp; Keys'!$A$36),""))</f>
        <v/>
      </c>
      <c r="E84" s="19" t="str">
        <f aca="false">IF('1 Setup &amp; Keys'!$A$36="","",IFERROR(AVERAGEIFS('2 Import Main'!D5:D204,'7 Screening'!$I$5:$I$204,1,'2 Import Main'!$B$5:$B$204,'1 Setup &amp; Keys'!$A$36),""))</f>
        <v/>
      </c>
      <c r="F84" s="19" t="str">
        <f aca="false">IF('1 Setup &amp; Keys'!$A$36="","",IFERROR(AVERAGEIFS('2 Import Main'!E5:E204,'7 Screening'!$I$5:$I$204,1,'2 Import Main'!$B$5:$B$204,'1 Setup &amp; Keys'!$A$36),""))</f>
        <v/>
      </c>
      <c r="G84" s="19" t="str">
        <f aca="false">IF('1 Setup &amp; Keys'!$A$36="","",IFERROR(AVERAGEIFS('2 Import Main'!F5:F204,'7 Screening'!$I$5:$I$204,1,'2 Import Main'!$B$5:$B$204,'1 Setup &amp; Keys'!$A$36),""))</f>
        <v/>
      </c>
      <c r="H84" s="19" t="str">
        <f aca="false">IF('1 Setup &amp; Keys'!$A$36="","",IFERROR(AVERAGEIFS('2 Import Main'!G5:G204,'7 Screening'!$I$5:$I$204,1,'2 Import Main'!$B$5:$B$204,'1 Setup &amp; Keys'!$A$36),""))</f>
        <v/>
      </c>
      <c r="I84" s="19" t="str">
        <f aca="false">IF('1 Setup &amp; Keys'!$A$36="","",IFERROR(AVERAGEIFS('2 Import Main'!H5:H204,'7 Screening'!$I$5:$I$204,1,'2 Import Main'!$B$5:$B$204,'1 Setup &amp; Keys'!$A$36),""))</f>
        <v/>
      </c>
      <c r="J84" s="19" t="str">
        <f aca="false">IF('1 Setup &amp; Keys'!$A$36="","",IFERROR(AVERAGEIFS('2 Import Main'!I5:I204,'7 Screening'!$I$5:$I$204,1,'2 Import Main'!$B$5:$B$204,'1 Setup &amp; Keys'!$A$36),""))</f>
        <v/>
      </c>
      <c r="K84" s="19" t="str">
        <f aca="false">IF('1 Setup &amp; Keys'!$A$36="","",IFERROR(AVERAGEIFS('2 Import Main'!J5:J204,'7 Screening'!$I$5:$I$204,1,'2 Import Main'!$B$5:$B$204,'1 Setup &amp; Keys'!$A$36),""))</f>
        <v/>
      </c>
      <c r="L84" s="19" t="str">
        <f aca="false">IF('1 Setup &amp; Keys'!$A$36="","",IFERROR(AVERAGEIFS('2 Import Main'!K5:K204,'7 Screening'!$I$5:$I$204,1,'2 Import Main'!$B$5:$B$204,'1 Setup &amp; Keys'!$A$36),""))</f>
        <v/>
      </c>
      <c r="M84" s="19" t="str">
        <f aca="false">IF('1 Setup &amp; Keys'!$A$36="","",IFERROR(AVERAGEIFS('2 Import Main'!L5:L204,'7 Screening'!$I$5:$I$204,1,'2 Import Main'!$B$5:$B$204,'1 Setup &amp; Keys'!$A$36),""))</f>
        <v/>
      </c>
      <c r="N84" s="19" t="str">
        <f aca="false">IF('1 Setup &amp; Keys'!$A$36="","",IFERROR(AVERAGEIFS('2 Import Main'!M5:M204,'7 Screening'!$I$5:$I$204,1,'2 Import Main'!$B$5:$B$204,'1 Setup &amp; Keys'!$A$36),""))</f>
        <v/>
      </c>
      <c r="O84" s="19" t="str">
        <f aca="false">IF('1 Setup &amp; Keys'!$A$36="","",IFERROR(AVERAGEIFS('2 Import Main'!N5:N204,'7 Screening'!$I$5:$I$204,1,'2 Import Main'!$B$5:$B$204,'1 Setup &amp; Keys'!$A$36),""))</f>
        <v/>
      </c>
      <c r="P84" s="19" t="str">
        <f aca="false">IF('1 Setup &amp; Keys'!$A$36="","",IFERROR(AVERAGEIFS('2 Import Main'!O5:O204,'7 Screening'!$I$5:$I$204,1,'2 Import Main'!$B$5:$B$204,'1 Setup &amp; Keys'!$A$36),""))</f>
        <v/>
      </c>
      <c r="Q84" s="19" t="str">
        <f aca="false">IF('1 Setup &amp; Keys'!$A$36="","",IFERROR(AVERAGEIFS('2 Import Main'!P5:P204,'7 Screening'!$I$5:$I$204,1,'2 Import Main'!$B$5:$B$204,'1 Setup &amp; Keys'!$A$36),""))</f>
        <v/>
      </c>
      <c r="R84" s="19" t="str">
        <f aca="false">IF('1 Setup &amp; Keys'!$A$36="","",IFERROR(AVERAGEIFS('2 Import Main'!Q5:Q204,'7 Screening'!$I$5:$I$204,1,'2 Import Main'!$B$5:$B$204,'1 Setup &amp; Keys'!$A$36),""))</f>
        <v/>
      </c>
      <c r="S84" s="6" t="str">
        <f aca="false">IF('1 Setup &amp; Keys'!$A$36="","",IF(OR(B84&lt;Reference!$B$11,IF(C84="",FALSE(),C84&lt;Reference!$B$10)),"LOW",""))</f>
        <v/>
      </c>
    </row>
    <row r="85" customFormat="false" ht="15" hidden="false" customHeight="false" outlineLevel="0" collapsed="false">
      <c r="A85" s="7" t="str">
        <f aca="false">IF('1 Setup &amp; Keys'!$A$37="","",'1 Setup &amp; Keys'!$A$37)</f>
        <v/>
      </c>
      <c r="B85" s="20" t="str">
        <f aca="false">IF('1 Setup &amp; Keys'!$A$37="","",COUNTIFS('7 Screening'!$I$5:$I$204,1,'2 Import Main'!$B$5:$B$204,'1 Setup &amp; Keys'!$A$37))</f>
        <v/>
      </c>
      <c r="C85" s="29" t="str">
        <f aca="false">IF(OR('1 Setup &amp; Keys'!$A$37="",'1 Setup &amp; Keys'!$B$37=""),"",IFERROR(B85/'1 Setup &amp; Keys'!$B$37,""))</f>
        <v/>
      </c>
      <c r="D85" s="19" t="str">
        <f aca="false">IF('1 Setup &amp; Keys'!$A$37="","",IFERROR(AVERAGEIFS('2 Import Main'!C5:C204,'7 Screening'!$I$5:$I$204,1,'2 Import Main'!$B$5:$B$204,'1 Setup &amp; Keys'!$A$37),""))</f>
        <v/>
      </c>
      <c r="E85" s="19" t="str">
        <f aca="false">IF('1 Setup &amp; Keys'!$A$37="","",IFERROR(AVERAGEIFS('2 Import Main'!D5:D204,'7 Screening'!$I$5:$I$204,1,'2 Import Main'!$B$5:$B$204,'1 Setup &amp; Keys'!$A$37),""))</f>
        <v/>
      </c>
      <c r="F85" s="19" t="str">
        <f aca="false">IF('1 Setup &amp; Keys'!$A$37="","",IFERROR(AVERAGEIFS('2 Import Main'!E5:E204,'7 Screening'!$I$5:$I$204,1,'2 Import Main'!$B$5:$B$204,'1 Setup &amp; Keys'!$A$37),""))</f>
        <v/>
      </c>
      <c r="G85" s="19" t="str">
        <f aca="false">IF('1 Setup &amp; Keys'!$A$37="","",IFERROR(AVERAGEIFS('2 Import Main'!F5:F204,'7 Screening'!$I$5:$I$204,1,'2 Import Main'!$B$5:$B$204,'1 Setup &amp; Keys'!$A$37),""))</f>
        <v/>
      </c>
      <c r="H85" s="19" t="str">
        <f aca="false">IF('1 Setup &amp; Keys'!$A$37="","",IFERROR(AVERAGEIFS('2 Import Main'!G5:G204,'7 Screening'!$I$5:$I$204,1,'2 Import Main'!$B$5:$B$204,'1 Setup &amp; Keys'!$A$37),""))</f>
        <v/>
      </c>
      <c r="I85" s="19" t="str">
        <f aca="false">IF('1 Setup &amp; Keys'!$A$37="","",IFERROR(AVERAGEIFS('2 Import Main'!H5:H204,'7 Screening'!$I$5:$I$204,1,'2 Import Main'!$B$5:$B$204,'1 Setup &amp; Keys'!$A$37),""))</f>
        <v/>
      </c>
      <c r="J85" s="19" t="str">
        <f aca="false">IF('1 Setup &amp; Keys'!$A$37="","",IFERROR(AVERAGEIFS('2 Import Main'!I5:I204,'7 Screening'!$I$5:$I$204,1,'2 Import Main'!$B$5:$B$204,'1 Setup &amp; Keys'!$A$37),""))</f>
        <v/>
      </c>
      <c r="K85" s="19" t="str">
        <f aca="false">IF('1 Setup &amp; Keys'!$A$37="","",IFERROR(AVERAGEIFS('2 Import Main'!J5:J204,'7 Screening'!$I$5:$I$204,1,'2 Import Main'!$B$5:$B$204,'1 Setup &amp; Keys'!$A$37),""))</f>
        <v/>
      </c>
      <c r="L85" s="19" t="str">
        <f aca="false">IF('1 Setup &amp; Keys'!$A$37="","",IFERROR(AVERAGEIFS('2 Import Main'!K5:K204,'7 Screening'!$I$5:$I$204,1,'2 Import Main'!$B$5:$B$204,'1 Setup &amp; Keys'!$A$37),""))</f>
        <v/>
      </c>
      <c r="M85" s="19" t="str">
        <f aca="false">IF('1 Setup &amp; Keys'!$A$37="","",IFERROR(AVERAGEIFS('2 Import Main'!L5:L204,'7 Screening'!$I$5:$I$204,1,'2 Import Main'!$B$5:$B$204,'1 Setup &amp; Keys'!$A$37),""))</f>
        <v/>
      </c>
      <c r="N85" s="19" t="str">
        <f aca="false">IF('1 Setup &amp; Keys'!$A$37="","",IFERROR(AVERAGEIFS('2 Import Main'!M5:M204,'7 Screening'!$I$5:$I$204,1,'2 Import Main'!$B$5:$B$204,'1 Setup &amp; Keys'!$A$37),""))</f>
        <v/>
      </c>
      <c r="O85" s="19" t="str">
        <f aca="false">IF('1 Setup &amp; Keys'!$A$37="","",IFERROR(AVERAGEIFS('2 Import Main'!N5:N204,'7 Screening'!$I$5:$I$204,1,'2 Import Main'!$B$5:$B$204,'1 Setup &amp; Keys'!$A$37),""))</f>
        <v/>
      </c>
      <c r="P85" s="19" t="str">
        <f aca="false">IF('1 Setup &amp; Keys'!$A$37="","",IFERROR(AVERAGEIFS('2 Import Main'!O5:O204,'7 Screening'!$I$5:$I$204,1,'2 Import Main'!$B$5:$B$204,'1 Setup &amp; Keys'!$A$37),""))</f>
        <v/>
      </c>
      <c r="Q85" s="19" t="str">
        <f aca="false">IF('1 Setup &amp; Keys'!$A$37="","",IFERROR(AVERAGEIFS('2 Import Main'!P5:P204,'7 Screening'!$I$5:$I$204,1,'2 Import Main'!$B$5:$B$204,'1 Setup &amp; Keys'!$A$37),""))</f>
        <v/>
      </c>
      <c r="R85" s="19" t="str">
        <f aca="false">IF('1 Setup &amp; Keys'!$A$37="","",IFERROR(AVERAGEIFS('2 Import Main'!Q5:Q204,'7 Screening'!$I$5:$I$204,1,'2 Import Main'!$B$5:$B$204,'1 Setup &amp; Keys'!$A$37),""))</f>
        <v/>
      </c>
      <c r="S85" s="6" t="str">
        <f aca="false">IF('1 Setup &amp; Keys'!$A$37="","",IF(OR(B85&lt;Reference!$B$11,IF(C85="",FALSE(),C85&lt;Reference!$B$10)),"LOW",""))</f>
        <v/>
      </c>
    </row>
    <row r="86" customFormat="false" ht="15" hidden="false" customHeight="false" outlineLevel="0" collapsed="false">
      <c r="A86" s="7" t="str">
        <f aca="false">IF('1 Setup &amp; Keys'!$A$38="","",'1 Setup &amp; Keys'!$A$38)</f>
        <v/>
      </c>
      <c r="B86" s="20" t="str">
        <f aca="false">IF('1 Setup &amp; Keys'!$A$38="","",COUNTIFS('7 Screening'!$I$5:$I$204,1,'2 Import Main'!$B$5:$B$204,'1 Setup &amp; Keys'!$A$38))</f>
        <v/>
      </c>
      <c r="C86" s="29" t="str">
        <f aca="false">IF(OR('1 Setup &amp; Keys'!$A$38="",'1 Setup &amp; Keys'!$B$38=""),"",IFERROR(B86/'1 Setup &amp; Keys'!$B$38,""))</f>
        <v/>
      </c>
      <c r="D86" s="19" t="str">
        <f aca="false">IF('1 Setup &amp; Keys'!$A$38="","",IFERROR(AVERAGEIFS('2 Import Main'!C5:C204,'7 Screening'!$I$5:$I$204,1,'2 Import Main'!$B$5:$B$204,'1 Setup &amp; Keys'!$A$38),""))</f>
        <v/>
      </c>
      <c r="E86" s="19" t="str">
        <f aca="false">IF('1 Setup &amp; Keys'!$A$38="","",IFERROR(AVERAGEIFS('2 Import Main'!D5:D204,'7 Screening'!$I$5:$I$204,1,'2 Import Main'!$B$5:$B$204,'1 Setup &amp; Keys'!$A$38),""))</f>
        <v/>
      </c>
      <c r="F86" s="19" t="str">
        <f aca="false">IF('1 Setup &amp; Keys'!$A$38="","",IFERROR(AVERAGEIFS('2 Import Main'!E5:E204,'7 Screening'!$I$5:$I$204,1,'2 Import Main'!$B$5:$B$204,'1 Setup &amp; Keys'!$A$38),""))</f>
        <v/>
      </c>
      <c r="G86" s="19" t="str">
        <f aca="false">IF('1 Setup &amp; Keys'!$A$38="","",IFERROR(AVERAGEIFS('2 Import Main'!F5:F204,'7 Screening'!$I$5:$I$204,1,'2 Import Main'!$B$5:$B$204,'1 Setup &amp; Keys'!$A$38),""))</f>
        <v/>
      </c>
      <c r="H86" s="19" t="str">
        <f aca="false">IF('1 Setup &amp; Keys'!$A$38="","",IFERROR(AVERAGEIFS('2 Import Main'!G5:G204,'7 Screening'!$I$5:$I$204,1,'2 Import Main'!$B$5:$B$204,'1 Setup &amp; Keys'!$A$38),""))</f>
        <v/>
      </c>
      <c r="I86" s="19" t="str">
        <f aca="false">IF('1 Setup &amp; Keys'!$A$38="","",IFERROR(AVERAGEIFS('2 Import Main'!H5:H204,'7 Screening'!$I$5:$I$204,1,'2 Import Main'!$B$5:$B$204,'1 Setup &amp; Keys'!$A$38),""))</f>
        <v/>
      </c>
      <c r="J86" s="19" t="str">
        <f aca="false">IF('1 Setup &amp; Keys'!$A$38="","",IFERROR(AVERAGEIFS('2 Import Main'!I5:I204,'7 Screening'!$I$5:$I$204,1,'2 Import Main'!$B$5:$B$204,'1 Setup &amp; Keys'!$A$38),""))</f>
        <v/>
      </c>
      <c r="K86" s="19" t="str">
        <f aca="false">IF('1 Setup &amp; Keys'!$A$38="","",IFERROR(AVERAGEIFS('2 Import Main'!J5:J204,'7 Screening'!$I$5:$I$204,1,'2 Import Main'!$B$5:$B$204,'1 Setup &amp; Keys'!$A$38),""))</f>
        <v/>
      </c>
      <c r="L86" s="19" t="str">
        <f aca="false">IF('1 Setup &amp; Keys'!$A$38="","",IFERROR(AVERAGEIFS('2 Import Main'!K5:K204,'7 Screening'!$I$5:$I$204,1,'2 Import Main'!$B$5:$B$204,'1 Setup &amp; Keys'!$A$38),""))</f>
        <v/>
      </c>
      <c r="M86" s="19" t="str">
        <f aca="false">IF('1 Setup &amp; Keys'!$A$38="","",IFERROR(AVERAGEIFS('2 Import Main'!L5:L204,'7 Screening'!$I$5:$I$204,1,'2 Import Main'!$B$5:$B$204,'1 Setup &amp; Keys'!$A$38),""))</f>
        <v/>
      </c>
      <c r="N86" s="19" t="str">
        <f aca="false">IF('1 Setup &amp; Keys'!$A$38="","",IFERROR(AVERAGEIFS('2 Import Main'!M5:M204,'7 Screening'!$I$5:$I$204,1,'2 Import Main'!$B$5:$B$204,'1 Setup &amp; Keys'!$A$38),""))</f>
        <v/>
      </c>
      <c r="O86" s="19" t="str">
        <f aca="false">IF('1 Setup &amp; Keys'!$A$38="","",IFERROR(AVERAGEIFS('2 Import Main'!N5:N204,'7 Screening'!$I$5:$I$204,1,'2 Import Main'!$B$5:$B$204,'1 Setup &amp; Keys'!$A$38),""))</f>
        <v/>
      </c>
      <c r="P86" s="19" t="str">
        <f aca="false">IF('1 Setup &amp; Keys'!$A$38="","",IFERROR(AVERAGEIFS('2 Import Main'!O5:O204,'7 Screening'!$I$5:$I$204,1,'2 Import Main'!$B$5:$B$204,'1 Setup &amp; Keys'!$A$38),""))</f>
        <v/>
      </c>
      <c r="Q86" s="19" t="str">
        <f aca="false">IF('1 Setup &amp; Keys'!$A$38="","",IFERROR(AVERAGEIFS('2 Import Main'!P5:P204,'7 Screening'!$I$5:$I$204,1,'2 Import Main'!$B$5:$B$204,'1 Setup &amp; Keys'!$A$38),""))</f>
        <v/>
      </c>
      <c r="R86" s="19" t="str">
        <f aca="false">IF('1 Setup &amp; Keys'!$A$38="","",IFERROR(AVERAGEIFS('2 Import Main'!Q5:Q204,'7 Screening'!$I$5:$I$204,1,'2 Import Main'!$B$5:$B$204,'1 Setup &amp; Keys'!$A$38),""))</f>
        <v/>
      </c>
      <c r="S86" s="6" t="str">
        <f aca="false">IF('1 Setup &amp; Keys'!$A$38="","",IF(OR(B86&lt;Reference!$B$11,IF(C86="",FALSE(),C86&lt;Reference!$B$10)),"LOW",""))</f>
        <v/>
      </c>
    </row>
    <row r="87" customFormat="false" ht="15" hidden="false" customHeight="false" outlineLevel="0" collapsed="false">
      <c r="A87" s="7" t="str">
        <f aca="false">IF('1 Setup &amp; Keys'!$A$39="","",'1 Setup &amp; Keys'!$A$39)</f>
        <v/>
      </c>
      <c r="B87" s="20" t="str">
        <f aca="false">IF('1 Setup &amp; Keys'!$A$39="","",COUNTIFS('7 Screening'!$I$5:$I$204,1,'2 Import Main'!$B$5:$B$204,'1 Setup &amp; Keys'!$A$39))</f>
        <v/>
      </c>
      <c r="C87" s="29" t="str">
        <f aca="false">IF(OR('1 Setup &amp; Keys'!$A$39="",'1 Setup &amp; Keys'!$B$39=""),"",IFERROR(B87/'1 Setup &amp; Keys'!$B$39,""))</f>
        <v/>
      </c>
      <c r="D87" s="19" t="str">
        <f aca="false">IF('1 Setup &amp; Keys'!$A$39="","",IFERROR(AVERAGEIFS('2 Import Main'!C5:C204,'7 Screening'!$I$5:$I$204,1,'2 Import Main'!$B$5:$B$204,'1 Setup &amp; Keys'!$A$39),""))</f>
        <v/>
      </c>
      <c r="E87" s="19" t="str">
        <f aca="false">IF('1 Setup &amp; Keys'!$A$39="","",IFERROR(AVERAGEIFS('2 Import Main'!D5:D204,'7 Screening'!$I$5:$I$204,1,'2 Import Main'!$B$5:$B$204,'1 Setup &amp; Keys'!$A$39),""))</f>
        <v/>
      </c>
      <c r="F87" s="19" t="str">
        <f aca="false">IF('1 Setup &amp; Keys'!$A$39="","",IFERROR(AVERAGEIFS('2 Import Main'!E5:E204,'7 Screening'!$I$5:$I$204,1,'2 Import Main'!$B$5:$B$204,'1 Setup &amp; Keys'!$A$39),""))</f>
        <v/>
      </c>
      <c r="G87" s="19" t="str">
        <f aca="false">IF('1 Setup &amp; Keys'!$A$39="","",IFERROR(AVERAGEIFS('2 Import Main'!F5:F204,'7 Screening'!$I$5:$I$204,1,'2 Import Main'!$B$5:$B$204,'1 Setup &amp; Keys'!$A$39),""))</f>
        <v/>
      </c>
      <c r="H87" s="19" t="str">
        <f aca="false">IF('1 Setup &amp; Keys'!$A$39="","",IFERROR(AVERAGEIFS('2 Import Main'!G5:G204,'7 Screening'!$I$5:$I$204,1,'2 Import Main'!$B$5:$B$204,'1 Setup &amp; Keys'!$A$39),""))</f>
        <v/>
      </c>
      <c r="I87" s="19" t="str">
        <f aca="false">IF('1 Setup &amp; Keys'!$A$39="","",IFERROR(AVERAGEIFS('2 Import Main'!H5:H204,'7 Screening'!$I$5:$I$204,1,'2 Import Main'!$B$5:$B$204,'1 Setup &amp; Keys'!$A$39),""))</f>
        <v/>
      </c>
      <c r="J87" s="19" t="str">
        <f aca="false">IF('1 Setup &amp; Keys'!$A$39="","",IFERROR(AVERAGEIFS('2 Import Main'!I5:I204,'7 Screening'!$I$5:$I$204,1,'2 Import Main'!$B$5:$B$204,'1 Setup &amp; Keys'!$A$39),""))</f>
        <v/>
      </c>
      <c r="K87" s="19" t="str">
        <f aca="false">IF('1 Setup &amp; Keys'!$A$39="","",IFERROR(AVERAGEIFS('2 Import Main'!J5:J204,'7 Screening'!$I$5:$I$204,1,'2 Import Main'!$B$5:$B$204,'1 Setup &amp; Keys'!$A$39),""))</f>
        <v/>
      </c>
      <c r="L87" s="19" t="str">
        <f aca="false">IF('1 Setup &amp; Keys'!$A$39="","",IFERROR(AVERAGEIFS('2 Import Main'!K5:K204,'7 Screening'!$I$5:$I$204,1,'2 Import Main'!$B$5:$B$204,'1 Setup &amp; Keys'!$A$39),""))</f>
        <v/>
      </c>
      <c r="M87" s="19" t="str">
        <f aca="false">IF('1 Setup &amp; Keys'!$A$39="","",IFERROR(AVERAGEIFS('2 Import Main'!L5:L204,'7 Screening'!$I$5:$I$204,1,'2 Import Main'!$B$5:$B$204,'1 Setup &amp; Keys'!$A$39),""))</f>
        <v/>
      </c>
      <c r="N87" s="19" t="str">
        <f aca="false">IF('1 Setup &amp; Keys'!$A$39="","",IFERROR(AVERAGEIFS('2 Import Main'!M5:M204,'7 Screening'!$I$5:$I$204,1,'2 Import Main'!$B$5:$B$204,'1 Setup &amp; Keys'!$A$39),""))</f>
        <v/>
      </c>
      <c r="O87" s="19" t="str">
        <f aca="false">IF('1 Setup &amp; Keys'!$A$39="","",IFERROR(AVERAGEIFS('2 Import Main'!N5:N204,'7 Screening'!$I$5:$I$204,1,'2 Import Main'!$B$5:$B$204,'1 Setup &amp; Keys'!$A$39),""))</f>
        <v/>
      </c>
      <c r="P87" s="19" t="str">
        <f aca="false">IF('1 Setup &amp; Keys'!$A$39="","",IFERROR(AVERAGEIFS('2 Import Main'!O5:O204,'7 Screening'!$I$5:$I$204,1,'2 Import Main'!$B$5:$B$204,'1 Setup &amp; Keys'!$A$39),""))</f>
        <v/>
      </c>
      <c r="Q87" s="19" t="str">
        <f aca="false">IF('1 Setup &amp; Keys'!$A$39="","",IFERROR(AVERAGEIFS('2 Import Main'!P5:P204,'7 Screening'!$I$5:$I$204,1,'2 Import Main'!$B$5:$B$204,'1 Setup &amp; Keys'!$A$39),""))</f>
        <v/>
      </c>
      <c r="R87" s="19" t="str">
        <f aca="false">IF('1 Setup &amp; Keys'!$A$39="","",IFERROR(AVERAGEIFS('2 Import Main'!Q5:Q204,'7 Screening'!$I$5:$I$204,1,'2 Import Main'!$B$5:$B$204,'1 Setup &amp; Keys'!$A$39),""))</f>
        <v/>
      </c>
      <c r="S87" s="6" t="str">
        <f aca="false">IF('1 Setup &amp; Keys'!$A$39="","",IF(OR(B87&lt;Reference!$B$11,IF(C87="",FALSE(),C87&lt;Reference!$B$10)),"LOW",""))</f>
        <v/>
      </c>
    </row>
    <row r="88" customFormat="false" ht="15" hidden="false" customHeight="false" outlineLevel="0" collapsed="false">
      <c r="A88" s="7" t="str">
        <f aca="false">IF('1 Setup &amp; Keys'!$A$40="","",'1 Setup &amp; Keys'!$A$40)</f>
        <v/>
      </c>
      <c r="B88" s="20" t="str">
        <f aca="false">IF('1 Setup &amp; Keys'!$A$40="","",COUNTIFS('7 Screening'!$I$5:$I$204,1,'2 Import Main'!$B$5:$B$204,'1 Setup &amp; Keys'!$A$40))</f>
        <v/>
      </c>
      <c r="C88" s="29" t="str">
        <f aca="false">IF(OR('1 Setup &amp; Keys'!$A$40="",'1 Setup &amp; Keys'!$B$40=""),"",IFERROR(B88/'1 Setup &amp; Keys'!$B$40,""))</f>
        <v/>
      </c>
      <c r="D88" s="19" t="str">
        <f aca="false">IF('1 Setup &amp; Keys'!$A$40="","",IFERROR(AVERAGEIFS('2 Import Main'!C5:C204,'7 Screening'!$I$5:$I$204,1,'2 Import Main'!$B$5:$B$204,'1 Setup &amp; Keys'!$A$40),""))</f>
        <v/>
      </c>
      <c r="E88" s="19" t="str">
        <f aca="false">IF('1 Setup &amp; Keys'!$A$40="","",IFERROR(AVERAGEIFS('2 Import Main'!D5:D204,'7 Screening'!$I$5:$I$204,1,'2 Import Main'!$B$5:$B$204,'1 Setup &amp; Keys'!$A$40),""))</f>
        <v/>
      </c>
      <c r="F88" s="19" t="str">
        <f aca="false">IF('1 Setup &amp; Keys'!$A$40="","",IFERROR(AVERAGEIFS('2 Import Main'!E5:E204,'7 Screening'!$I$5:$I$204,1,'2 Import Main'!$B$5:$B$204,'1 Setup &amp; Keys'!$A$40),""))</f>
        <v/>
      </c>
      <c r="G88" s="19" t="str">
        <f aca="false">IF('1 Setup &amp; Keys'!$A$40="","",IFERROR(AVERAGEIFS('2 Import Main'!F5:F204,'7 Screening'!$I$5:$I$204,1,'2 Import Main'!$B$5:$B$204,'1 Setup &amp; Keys'!$A$40),""))</f>
        <v/>
      </c>
      <c r="H88" s="19" t="str">
        <f aca="false">IF('1 Setup &amp; Keys'!$A$40="","",IFERROR(AVERAGEIFS('2 Import Main'!G5:G204,'7 Screening'!$I$5:$I$204,1,'2 Import Main'!$B$5:$B$204,'1 Setup &amp; Keys'!$A$40),""))</f>
        <v/>
      </c>
      <c r="I88" s="19" t="str">
        <f aca="false">IF('1 Setup &amp; Keys'!$A$40="","",IFERROR(AVERAGEIFS('2 Import Main'!H5:H204,'7 Screening'!$I$5:$I$204,1,'2 Import Main'!$B$5:$B$204,'1 Setup &amp; Keys'!$A$40),""))</f>
        <v/>
      </c>
      <c r="J88" s="19" t="str">
        <f aca="false">IF('1 Setup &amp; Keys'!$A$40="","",IFERROR(AVERAGEIFS('2 Import Main'!I5:I204,'7 Screening'!$I$5:$I$204,1,'2 Import Main'!$B$5:$B$204,'1 Setup &amp; Keys'!$A$40),""))</f>
        <v/>
      </c>
      <c r="K88" s="19" t="str">
        <f aca="false">IF('1 Setup &amp; Keys'!$A$40="","",IFERROR(AVERAGEIFS('2 Import Main'!J5:J204,'7 Screening'!$I$5:$I$204,1,'2 Import Main'!$B$5:$B$204,'1 Setup &amp; Keys'!$A$40),""))</f>
        <v/>
      </c>
      <c r="L88" s="19" t="str">
        <f aca="false">IF('1 Setup &amp; Keys'!$A$40="","",IFERROR(AVERAGEIFS('2 Import Main'!K5:K204,'7 Screening'!$I$5:$I$204,1,'2 Import Main'!$B$5:$B$204,'1 Setup &amp; Keys'!$A$40),""))</f>
        <v/>
      </c>
      <c r="M88" s="19" t="str">
        <f aca="false">IF('1 Setup &amp; Keys'!$A$40="","",IFERROR(AVERAGEIFS('2 Import Main'!L5:L204,'7 Screening'!$I$5:$I$204,1,'2 Import Main'!$B$5:$B$204,'1 Setup &amp; Keys'!$A$40),""))</f>
        <v/>
      </c>
      <c r="N88" s="19" t="str">
        <f aca="false">IF('1 Setup &amp; Keys'!$A$40="","",IFERROR(AVERAGEIFS('2 Import Main'!M5:M204,'7 Screening'!$I$5:$I$204,1,'2 Import Main'!$B$5:$B$204,'1 Setup &amp; Keys'!$A$40),""))</f>
        <v/>
      </c>
      <c r="O88" s="19" t="str">
        <f aca="false">IF('1 Setup &amp; Keys'!$A$40="","",IFERROR(AVERAGEIFS('2 Import Main'!N5:N204,'7 Screening'!$I$5:$I$204,1,'2 Import Main'!$B$5:$B$204,'1 Setup &amp; Keys'!$A$40),""))</f>
        <v/>
      </c>
      <c r="P88" s="19" t="str">
        <f aca="false">IF('1 Setup &amp; Keys'!$A$40="","",IFERROR(AVERAGEIFS('2 Import Main'!O5:O204,'7 Screening'!$I$5:$I$204,1,'2 Import Main'!$B$5:$B$204,'1 Setup &amp; Keys'!$A$40),""))</f>
        <v/>
      </c>
      <c r="Q88" s="19" t="str">
        <f aca="false">IF('1 Setup &amp; Keys'!$A$40="","",IFERROR(AVERAGEIFS('2 Import Main'!P5:P204,'7 Screening'!$I$5:$I$204,1,'2 Import Main'!$B$5:$B$204,'1 Setup &amp; Keys'!$A$40),""))</f>
        <v/>
      </c>
      <c r="R88" s="19" t="str">
        <f aca="false">IF('1 Setup &amp; Keys'!$A$40="","",IFERROR(AVERAGEIFS('2 Import Main'!Q5:Q204,'7 Screening'!$I$5:$I$204,1,'2 Import Main'!$B$5:$B$204,'1 Setup &amp; Keys'!$A$40),""))</f>
        <v/>
      </c>
      <c r="S88" s="6" t="str">
        <f aca="false">IF('1 Setup &amp; Keys'!$A$40="","",IF(OR(B88&lt;Reference!$B$11,IF(C88="",FALSE(),C88&lt;Reference!$B$10)),"LOW",""))</f>
        <v/>
      </c>
    </row>
    <row r="89" customFormat="false" ht="15" hidden="false" customHeight="false" outlineLevel="0" collapsed="false">
      <c r="A89" s="7" t="str">
        <f aca="false">IF('1 Setup &amp; Keys'!$A$41="","",'1 Setup &amp; Keys'!$A$41)</f>
        <v/>
      </c>
      <c r="B89" s="20" t="str">
        <f aca="false">IF('1 Setup &amp; Keys'!$A$41="","",COUNTIFS('7 Screening'!$I$5:$I$204,1,'2 Import Main'!$B$5:$B$204,'1 Setup &amp; Keys'!$A$41))</f>
        <v/>
      </c>
      <c r="C89" s="29" t="str">
        <f aca="false">IF(OR('1 Setup &amp; Keys'!$A$41="",'1 Setup &amp; Keys'!$B$41=""),"",IFERROR(B89/'1 Setup &amp; Keys'!$B$41,""))</f>
        <v/>
      </c>
      <c r="D89" s="19" t="str">
        <f aca="false">IF('1 Setup &amp; Keys'!$A$41="","",IFERROR(AVERAGEIFS('2 Import Main'!C5:C204,'7 Screening'!$I$5:$I$204,1,'2 Import Main'!$B$5:$B$204,'1 Setup &amp; Keys'!$A$41),""))</f>
        <v/>
      </c>
      <c r="E89" s="19" t="str">
        <f aca="false">IF('1 Setup &amp; Keys'!$A$41="","",IFERROR(AVERAGEIFS('2 Import Main'!D5:D204,'7 Screening'!$I$5:$I$204,1,'2 Import Main'!$B$5:$B$204,'1 Setup &amp; Keys'!$A$41),""))</f>
        <v/>
      </c>
      <c r="F89" s="19" t="str">
        <f aca="false">IF('1 Setup &amp; Keys'!$A$41="","",IFERROR(AVERAGEIFS('2 Import Main'!E5:E204,'7 Screening'!$I$5:$I$204,1,'2 Import Main'!$B$5:$B$204,'1 Setup &amp; Keys'!$A$41),""))</f>
        <v/>
      </c>
      <c r="G89" s="19" t="str">
        <f aca="false">IF('1 Setup &amp; Keys'!$A$41="","",IFERROR(AVERAGEIFS('2 Import Main'!F5:F204,'7 Screening'!$I$5:$I$204,1,'2 Import Main'!$B$5:$B$204,'1 Setup &amp; Keys'!$A$41),""))</f>
        <v/>
      </c>
      <c r="H89" s="19" t="str">
        <f aca="false">IF('1 Setup &amp; Keys'!$A$41="","",IFERROR(AVERAGEIFS('2 Import Main'!G5:G204,'7 Screening'!$I$5:$I$204,1,'2 Import Main'!$B$5:$B$204,'1 Setup &amp; Keys'!$A$41),""))</f>
        <v/>
      </c>
      <c r="I89" s="19" t="str">
        <f aca="false">IF('1 Setup &amp; Keys'!$A$41="","",IFERROR(AVERAGEIFS('2 Import Main'!H5:H204,'7 Screening'!$I$5:$I$204,1,'2 Import Main'!$B$5:$B$204,'1 Setup &amp; Keys'!$A$41),""))</f>
        <v/>
      </c>
      <c r="J89" s="19" t="str">
        <f aca="false">IF('1 Setup &amp; Keys'!$A$41="","",IFERROR(AVERAGEIFS('2 Import Main'!I5:I204,'7 Screening'!$I$5:$I$204,1,'2 Import Main'!$B$5:$B$204,'1 Setup &amp; Keys'!$A$41),""))</f>
        <v/>
      </c>
      <c r="K89" s="19" t="str">
        <f aca="false">IF('1 Setup &amp; Keys'!$A$41="","",IFERROR(AVERAGEIFS('2 Import Main'!J5:J204,'7 Screening'!$I$5:$I$204,1,'2 Import Main'!$B$5:$B$204,'1 Setup &amp; Keys'!$A$41),""))</f>
        <v/>
      </c>
      <c r="L89" s="19" t="str">
        <f aca="false">IF('1 Setup &amp; Keys'!$A$41="","",IFERROR(AVERAGEIFS('2 Import Main'!K5:K204,'7 Screening'!$I$5:$I$204,1,'2 Import Main'!$B$5:$B$204,'1 Setup &amp; Keys'!$A$41),""))</f>
        <v/>
      </c>
      <c r="M89" s="19" t="str">
        <f aca="false">IF('1 Setup &amp; Keys'!$A$41="","",IFERROR(AVERAGEIFS('2 Import Main'!L5:L204,'7 Screening'!$I$5:$I$204,1,'2 Import Main'!$B$5:$B$204,'1 Setup &amp; Keys'!$A$41),""))</f>
        <v/>
      </c>
      <c r="N89" s="19" t="str">
        <f aca="false">IF('1 Setup &amp; Keys'!$A$41="","",IFERROR(AVERAGEIFS('2 Import Main'!M5:M204,'7 Screening'!$I$5:$I$204,1,'2 Import Main'!$B$5:$B$204,'1 Setup &amp; Keys'!$A$41),""))</f>
        <v/>
      </c>
      <c r="O89" s="19" t="str">
        <f aca="false">IF('1 Setup &amp; Keys'!$A$41="","",IFERROR(AVERAGEIFS('2 Import Main'!N5:N204,'7 Screening'!$I$5:$I$204,1,'2 Import Main'!$B$5:$B$204,'1 Setup &amp; Keys'!$A$41),""))</f>
        <v/>
      </c>
      <c r="P89" s="19" t="str">
        <f aca="false">IF('1 Setup &amp; Keys'!$A$41="","",IFERROR(AVERAGEIFS('2 Import Main'!O5:O204,'7 Screening'!$I$5:$I$204,1,'2 Import Main'!$B$5:$B$204,'1 Setup &amp; Keys'!$A$41),""))</f>
        <v/>
      </c>
      <c r="Q89" s="19" t="str">
        <f aca="false">IF('1 Setup &amp; Keys'!$A$41="","",IFERROR(AVERAGEIFS('2 Import Main'!P5:P204,'7 Screening'!$I$5:$I$204,1,'2 Import Main'!$B$5:$B$204,'1 Setup &amp; Keys'!$A$41),""))</f>
        <v/>
      </c>
      <c r="R89" s="19" t="str">
        <f aca="false">IF('1 Setup &amp; Keys'!$A$41="","",IFERROR(AVERAGEIFS('2 Import Main'!Q5:Q204,'7 Screening'!$I$5:$I$204,1,'2 Import Main'!$B$5:$B$204,'1 Setup &amp; Keys'!$A$41),""))</f>
        <v/>
      </c>
      <c r="S89" s="6" t="str">
        <f aca="false">IF('1 Setup &amp; Keys'!$A$41="","",IF(OR(B89&lt;Reference!$B$11,IF(C89="",FALSE(),C89&lt;Reference!$B$10)),"LOW",""))</f>
        <v/>
      </c>
    </row>
    <row r="92" customFormat="false" ht="26.85" hidden="false" customHeight="true" outlineLevel="0" collapsed="false">
      <c r="A92" s="10" t="s">
        <v>250</v>
      </c>
      <c r="B92" s="10"/>
      <c r="C92" s="10"/>
      <c r="D92" s="10"/>
      <c r="E92" s="10"/>
      <c r="F92" s="10"/>
      <c r="G92" s="10"/>
      <c r="H92" s="10"/>
      <c r="I92" s="10"/>
    </row>
    <row r="93" customFormat="false" ht="19.4" hidden="false" customHeight="true" outlineLevel="0" collapsed="false">
      <c r="A93" s="9" t="s">
        <v>251</v>
      </c>
      <c r="B93" s="9"/>
      <c r="C93" s="9"/>
      <c r="D93" s="9"/>
      <c r="E93" s="9"/>
      <c r="F93" s="9"/>
      <c r="G93" s="9"/>
      <c r="H93" s="9"/>
      <c r="I93" s="9"/>
    </row>
    <row r="94" customFormat="false" ht="15" hidden="false" customHeight="false" outlineLevel="0" collapsed="false">
      <c r="A94" s="15" t="s">
        <v>32</v>
      </c>
      <c r="B94" s="15" t="s">
        <v>33</v>
      </c>
      <c r="C94" s="15" t="s">
        <v>248</v>
      </c>
      <c r="D94" s="15" t="s">
        <v>249</v>
      </c>
      <c r="E94" s="15" t="s">
        <v>104</v>
      </c>
      <c r="F94" s="15" t="s">
        <v>105</v>
      </c>
      <c r="G94" s="15" t="s">
        <v>106</v>
      </c>
      <c r="H94" s="15" t="s">
        <v>252</v>
      </c>
      <c r="I94" s="15" t="s">
        <v>232</v>
      </c>
    </row>
    <row r="95" customFormat="false" ht="15" hidden="false" customHeight="false" outlineLevel="0" collapsed="false">
      <c r="A95" s="7" t="str">
        <f aca="false">IF('1 Setup &amp; Keys'!$A$32="","",'1 Setup &amp; Keys'!$A$32)</f>
        <v/>
      </c>
      <c r="B95" s="20" t="str">
        <f aca="false">IF('1 Setup &amp; Keys'!$A$32="","",'1 Setup &amp; Keys'!$B$32)</f>
        <v/>
      </c>
      <c r="C95" s="20" t="str">
        <f aca="false">IF('1 Setup &amp; Keys'!$A$32="","",COUNTIFS('7 Screening'!$I$5:$I$204,1,'2 Import Main'!$B$5:$B$204,'1 Setup &amp; Keys'!$A$32))</f>
        <v/>
      </c>
      <c r="D95" s="29" t="str">
        <f aca="false">IF(OR('1 Setup &amp; Keys'!$A$32="",'1 Setup &amp; Keys'!$B$32=""),"",IFERROR(C95/'1 Setup &amp; Keys'!$B$32,""))</f>
        <v/>
      </c>
      <c r="E95" s="19" t="str">
        <f aca="false">IF('1 Setup &amp; Keys'!$A$32="","",IFERROR(AVERAGEIFS('2 Import Main'!BK5:BK204,'7 Screening'!$I$5:$I$204,1,'2 Import Main'!$B$5:$B$204,'1 Setup &amp; Keys'!$A$32),""))</f>
        <v/>
      </c>
      <c r="F95" s="19" t="str">
        <f aca="false">IF('1 Setup &amp; Keys'!$A$32="","",IFERROR(AVERAGEIFS('2 Import Main'!BL5:BL204,'7 Screening'!$I$5:$I$204,1,'2 Import Main'!$B$5:$B$204,'1 Setup &amp; Keys'!$A$32),""))</f>
        <v/>
      </c>
      <c r="G95" s="19" t="str">
        <f aca="false">IF('1 Setup &amp; Keys'!$A$32="","",IFERROR(AVERAGEIFS('2 Import Main'!BM5:BM204,'7 Screening'!$I$5:$I$204,1,'2 Import Main'!$B$5:$B$204,'1 Setup &amp; Keys'!$A$32),""))</f>
        <v/>
      </c>
      <c r="H95" s="30" t="str">
        <f aca="false">IF('1 Setup &amp; Keys'!$A$32="","",IFERROR((AVERAGE(E95:G95)-1)*25,""))</f>
        <v/>
      </c>
      <c r="I95" s="6" t="str">
        <f aca="false">IF('1 Setup &amp; Keys'!$A$32="","",IF(C95&lt;Reference!$B$11,"LOW",""))</f>
        <v/>
      </c>
    </row>
    <row r="96" customFormat="false" ht="15" hidden="false" customHeight="false" outlineLevel="0" collapsed="false">
      <c r="A96" s="7" t="str">
        <f aca="false">IF('1 Setup &amp; Keys'!$A$33="","",'1 Setup &amp; Keys'!$A$33)</f>
        <v/>
      </c>
      <c r="B96" s="20" t="str">
        <f aca="false">IF('1 Setup &amp; Keys'!$A$33="","",'1 Setup &amp; Keys'!$B$33)</f>
        <v/>
      </c>
      <c r="C96" s="20" t="str">
        <f aca="false">IF('1 Setup &amp; Keys'!$A$33="","",COUNTIFS('7 Screening'!$I$5:$I$204,1,'2 Import Main'!$B$5:$B$204,'1 Setup &amp; Keys'!$A$33))</f>
        <v/>
      </c>
      <c r="D96" s="29" t="str">
        <f aca="false">IF(OR('1 Setup &amp; Keys'!$A$33="",'1 Setup &amp; Keys'!$B$33=""),"",IFERROR(C96/'1 Setup &amp; Keys'!$B$33,""))</f>
        <v/>
      </c>
      <c r="E96" s="19" t="str">
        <f aca="false">IF('1 Setup &amp; Keys'!$A$33="","",IFERROR(AVERAGEIFS('2 Import Main'!BK5:BK204,'7 Screening'!$I$5:$I$204,1,'2 Import Main'!$B$5:$B$204,'1 Setup &amp; Keys'!$A$33),""))</f>
        <v/>
      </c>
      <c r="F96" s="19" t="str">
        <f aca="false">IF('1 Setup &amp; Keys'!$A$33="","",IFERROR(AVERAGEIFS('2 Import Main'!BL5:BL204,'7 Screening'!$I$5:$I$204,1,'2 Import Main'!$B$5:$B$204,'1 Setup &amp; Keys'!$A$33),""))</f>
        <v/>
      </c>
      <c r="G96" s="19" t="str">
        <f aca="false">IF('1 Setup &amp; Keys'!$A$33="","",IFERROR(AVERAGEIFS('2 Import Main'!BM5:BM204,'7 Screening'!$I$5:$I$204,1,'2 Import Main'!$B$5:$B$204,'1 Setup &amp; Keys'!$A$33),""))</f>
        <v/>
      </c>
      <c r="H96" s="30" t="str">
        <f aca="false">IF('1 Setup &amp; Keys'!$A$33="","",IFERROR((AVERAGE(E96:G96)-1)*25,""))</f>
        <v/>
      </c>
      <c r="I96" s="6" t="str">
        <f aca="false">IF('1 Setup &amp; Keys'!$A$33="","",IF(C96&lt;Reference!$B$11,"LOW",""))</f>
        <v/>
      </c>
    </row>
    <row r="97" customFormat="false" ht="15" hidden="false" customHeight="false" outlineLevel="0" collapsed="false">
      <c r="A97" s="7" t="str">
        <f aca="false">IF('1 Setup &amp; Keys'!$A$34="","",'1 Setup &amp; Keys'!$A$34)</f>
        <v/>
      </c>
      <c r="B97" s="20" t="str">
        <f aca="false">IF('1 Setup &amp; Keys'!$A$34="","",'1 Setup &amp; Keys'!$B$34)</f>
        <v/>
      </c>
      <c r="C97" s="20" t="str">
        <f aca="false">IF('1 Setup &amp; Keys'!$A$34="","",COUNTIFS('7 Screening'!$I$5:$I$204,1,'2 Import Main'!$B$5:$B$204,'1 Setup &amp; Keys'!$A$34))</f>
        <v/>
      </c>
      <c r="D97" s="29" t="str">
        <f aca="false">IF(OR('1 Setup &amp; Keys'!$A$34="",'1 Setup &amp; Keys'!$B$34=""),"",IFERROR(C97/'1 Setup &amp; Keys'!$B$34,""))</f>
        <v/>
      </c>
      <c r="E97" s="19" t="str">
        <f aca="false">IF('1 Setup &amp; Keys'!$A$34="","",IFERROR(AVERAGEIFS('2 Import Main'!BK5:BK204,'7 Screening'!$I$5:$I$204,1,'2 Import Main'!$B$5:$B$204,'1 Setup &amp; Keys'!$A$34),""))</f>
        <v/>
      </c>
      <c r="F97" s="19" t="str">
        <f aca="false">IF('1 Setup &amp; Keys'!$A$34="","",IFERROR(AVERAGEIFS('2 Import Main'!BL5:BL204,'7 Screening'!$I$5:$I$204,1,'2 Import Main'!$B$5:$B$204,'1 Setup &amp; Keys'!$A$34),""))</f>
        <v/>
      </c>
      <c r="G97" s="19" t="str">
        <f aca="false">IF('1 Setup &amp; Keys'!$A$34="","",IFERROR(AVERAGEIFS('2 Import Main'!BM5:BM204,'7 Screening'!$I$5:$I$204,1,'2 Import Main'!$B$5:$B$204,'1 Setup &amp; Keys'!$A$34),""))</f>
        <v/>
      </c>
      <c r="H97" s="30" t="str">
        <f aca="false">IF('1 Setup &amp; Keys'!$A$34="","",IFERROR((AVERAGE(E97:G97)-1)*25,""))</f>
        <v/>
      </c>
      <c r="I97" s="6" t="str">
        <f aca="false">IF('1 Setup &amp; Keys'!$A$34="","",IF(C97&lt;Reference!$B$11,"LOW",""))</f>
        <v/>
      </c>
    </row>
    <row r="98" customFormat="false" ht="15" hidden="false" customHeight="false" outlineLevel="0" collapsed="false">
      <c r="A98" s="7" t="str">
        <f aca="false">IF('1 Setup &amp; Keys'!$A$35="","",'1 Setup &amp; Keys'!$A$35)</f>
        <v/>
      </c>
      <c r="B98" s="20" t="str">
        <f aca="false">IF('1 Setup &amp; Keys'!$A$35="","",'1 Setup &amp; Keys'!$B$35)</f>
        <v/>
      </c>
      <c r="C98" s="20" t="str">
        <f aca="false">IF('1 Setup &amp; Keys'!$A$35="","",COUNTIFS('7 Screening'!$I$5:$I$204,1,'2 Import Main'!$B$5:$B$204,'1 Setup &amp; Keys'!$A$35))</f>
        <v/>
      </c>
      <c r="D98" s="29" t="str">
        <f aca="false">IF(OR('1 Setup &amp; Keys'!$A$35="",'1 Setup &amp; Keys'!$B$35=""),"",IFERROR(C98/'1 Setup &amp; Keys'!$B$35,""))</f>
        <v/>
      </c>
      <c r="E98" s="19" t="str">
        <f aca="false">IF('1 Setup &amp; Keys'!$A$35="","",IFERROR(AVERAGEIFS('2 Import Main'!BK5:BK204,'7 Screening'!$I$5:$I$204,1,'2 Import Main'!$B$5:$B$204,'1 Setup &amp; Keys'!$A$35),""))</f>
        <v/>
      </c>
      <c r="F98" s="19" t="str">
        <f aca="false">IF('1 Setup &amp; Keys'!$A$35="","",IFERROR(AVERAGEIFS('2 Import Main'!BL5:BL204,'7 Screening'!$I$5:$I$204,1,'2 Import Main'!$B$5:$B$204,'1 Setup &amp; Keys'!$A$35),""))</f>
        <v/>
      </c>
      <c r="G98" s="19" t="str">
        <f aca="false">IF('1 Setup &amp; Keys'!$A$35="","",IFERROR(AVERAGEIFS('2 Import Main'!BM5:BM204,'7 Screening'!$I$5:$I$204,1,'2 Import Main'!$B$5:$B$204,'1 Setup &amp; Keys'!$A$35),""))</f>
        <v/>
      </c>
      <c r="H98" s="30" t="str">
        <f aca="false">IF('1 Setup &amp; Keys'!$A$35="","",IFERROR((AVERAGE(E98:G98)-1)*25,""))</f>
        <v/>
      </c>
      <c r="I98" s="6" t="str">
        <f aca="false">IF('1 Setup &amp; Keys'!$A$35="","",IF(C98&lt;Reference!$B$11,"LOW",""))</f>
        <v/>
      </c>
    </row>
    <row r="99" customFormat="false" ht="15" hidden="false" customHeight="false" outlineLevel="0" collapsed="false">
      <c r="A99" s="7" t="str">
        <f aca="false">IF('1 Setup &amp; Keys'!$A$36="","",'1 Setup &amp; Keys'!$A$36)</f>
        <v/>
      </c>
      <c r="B99" s="20" t="str">
        <f aca="false">IF('1 Setup &amp; Keys'!$A$36="","",'1 Setup &amp; Keys'!$B$36)</f>
        <v/>
      </c>
      <c r="C99" s="20" t="str">
        <f aca="false">IF('1 Setup &amp; Keys'!$A$36="","",COUNTIFS('7 Screening'!$I$5:$I$204,1,'2 Import Main'!$B$5:$B$204,'1 Setup &amp; Keys'!$A$36))</f>
        <v/>
      </c>
      <c r="D99" s="29" t="str">
        <f aca="false">IF(OR('1 Setup &amp; Keys'!$A$36="",'1 Setup &amp; Keys'!$B$36=""),"",IFERROR(C99/'1 Setup &amp; Keys'!$B$36,""))</f>
        <v/>
      </c>
      <c r="E99" s="19" t="str">
        <f aca="false">IF('1 Setup &amp; Keys'!$A$36="","",IFERROR(AVERAGEIFS('2 Import Main'!BK5:BK204,'7 Screening'!$I$5:$I$204,1,'2 Import Main'!$B$5:$B$204,'1 Setup &amp; Keys'!$A$36),""))</f>
        <v/>
      </c>
      <c r="F99" s="19" t="str">
        <f aca="false">IF('1 Setup &amp; Keys'!$A$36="","",IFERROR(AVERAGEIFS('2 Import Main'!BL5:BL204,'7 Screening'!$I$5:$I$204,1,'2 Import Main'!$B$5:$B$204,'1 Setup &amp; Keys'!$A$36),""))</f>
        <v/>
      </c>
      <c r="G99" s="19" t="str">
        <f aca="false">IF('1 Setup &amp; Keys'!$A$36="","",IFERROR(AVERAGEIFS('2 Import Main'!BM5:BM204,'7 Screening'!$I$5:$I$204,1,'2 Import Main'!$B$5:$B$204,'1 Setup &amp; Keys'!$A$36),""))</f>
        <v/>
      </c>
      <c r="H99" s="30" t="str">
        <f aca="false">IF('1 Setup &amp; Keys'!$A$36="","",IFERROR((AVERAGE(E99:G99)-1)*25,""))</f>
        <v/>
      </c>
      <c r="I99" s="6" t="str">
        <f aca="false">IF('1 Setup &amp; Keys'!$A$36="","",IF(C99&lt;Reference!$B$11,"LOW",""))</f>
        <v/>
      </c>
    </row>
    <row r="100" customFormat="false" ht="15" hidden="false" customHeight="false" outlineLevel="0" collapsed="false">
      <c r="A100" s="7" t="str">
        <f aca="false">IF('1 Setup &amp; Keys'!$A$37="","",'1 Setup &amp; Keys'!$A$37)</f>
        <v/>
      </c>
      <c r="B100" s="20" t="str">
        <f aca="false">IF('1 Setup &amp; Keys'!$A$37="","",'1 Setup &amp; Keys'!$B$37)</f>
        <v/>
      </c>
      <c r="C100" s="20" t="str">
        <f aca="false">IF('1 Setup &amp; Keys'!$A$37="","",COUNTIFS('7 Screening'!$I$5:$I$204,1,'2 Import Main'!$B$5:$B$204,'1 Setup &amp; Keys'!$A$37))</f>
        <v/>
      </c>
      <c r="D100" s="29" t="str">
        <f aca="false">IF(OR('1 Setup &amp; Keys'!$A$37="",'1 Setup &amp; Keys'!$B$37=""),"",IFERROR(C100/'1 Setup &amp; Keys'!$B$37,""))</f>
        <v/>
      </c>
      <c r="E100" s="19" t="str">
        <f aca="false">IF('1 Setup &amp; Keys'!$A$37="","",IFERROR(AVERAGEIFS('2 Import Main'!BK5:BK204,'7 Screening'!$I$5:$I$204,1,'2 Import Main'!$B$5:$B$204,'1 Setup &amp; Keys'!$A$37),""))</f>
        <v/>
      </c>
      <c r="F100" s="19" t="str">
        <f aca="false">IF('1 Setup &amp; Keys'!$A$37="","",IFERROR(AVERAGEIFS('2 Import Main'!BL5:BL204,'7 Screening'!$I$5:$I$204,1,'2 Import Main'!$B$5:$B$204,'1 Setup &amp; Keys'!$A$37),""))</f>
        <v/>
      </c>
      <c r="G100" s="19" t="str">
        <f aca="false">IF('1 Setup &amp; Keys'!$A$37="","",IFERROR(AVERAGEIFS('2 Import Main'!BM5:BM204,'7 Screening'!$I$5:$I$204,1,'2 Import Main'!$B$5:$B$204,'1 Setup &amp; Keys'!$A$37),""))</f>
        <v/>
      </c>
      <c r="H100" s="30" t="str">
        <f aca="false">IF('1 Setup &amp; Keys'!$A$37="","",IFERROR((AVERAGE(E100:G100)-1)*25,""))</f>
        <v/>
      </c>
      <c r="I100" s="6" t="str">
        <f aca="false">IF('1 Setup &amp; Keys'!$A$37="","",IF(C100&lt;Reference!$B$11,"LOW",""))</f>
        <v/>
      </c>
    </row>
    <row r="101" customFormat="false" ht="15" hidden="false" customHeight="false" outlineLevel="0" collapsed="false">
      <c r="A101" s="7" t="str">
        <f aca="false">IF('1 Setup &amp; Keys'!$A$38="","",'1 Setup &amp; Keys'!$A$38)</f>
        <v/>
      </c>
      <c r="B101" s="20" t="str">
        <f aca="false">IF('1 Setup &amp; Keys'!$A$38="","",'1 Setup &amp; Keys'!$B$38)</f>
        <v/>
      </c>
      <c r="C101" s="20" t="str">
        <f aca="false">IF('1 Setup &amp; Keys'!$A$38="","",COUNTIFS('7 Screening'!$I$5:$I$204,1,'2 Import Main'!$B$5:$B$204,'1 Setup &amp; Keys'!$A$38))</f>
        <v/>
      </c>
      <c r="D101" s="29" t="str">
        <f aca="false">IF(OR('1 Setup &amp; Keys'!$A$38="",'1 Setup &amp; Keys'!$B$38=""),"",IFERROR(C101/'1 Setup &amp; Keys'!$B$38,""))</f>
        <v/>
      </c>
      <c r="E101" s="19" t="str">
        <f aca="false">IF('1 Setup &amp; Keys'!$A$38="","",IFERROR(AVERAGEIFS('2 Import Main'!BK5:BK204,'7 Screening'!$I$5:$I$204,1,'2 Import Main'!$B$5:$B$204,'1 Setup &amp; Keys'!$A$38),""))</f>
        <v/>
      </c>
      <c r="F101" s="19" t="str">
        <f aca="false">IF('1 Setup &amp; Keys'!$A$38="","",IFERROR(AVERAGEIFS('2 Import Main'!BL5:BL204,'7 Screening'!$I$5:$I$204,1,'2 Import Main'!$B$5:$B$204,'1 Setup &amp; Keys'!$A$38),""))</f>
        <v/>
      </c>
      <c r="G101" s="19" t="str">
        <f aca="false">IF('1 Setup &amp; Keys'!$A$38="","",IFERROR(AVERAGEIFS('2 Import Main'!BM5:BM204,'7 Screening'!$I$5:$I$204,1,'2 Import Main'!$B$5:$B$204,'1 Setup &amp; Keys'!$A$38),""))</f>
        <v/>
      </c>
      <c r="H101" s="30" t="str">
        <f aca="false">IF('1 Setup &amp; Keys'!$A$38="","",IFERROR((AVERAGE(E101:G101)-1)*25,""))</f>
        <v/>
      </c>
      <c r="I101" s="6" t="str">
        <f aca="false">IF('1 Setup &amp; Keys'!$A$38="","",IF(C101&lt;Reference!$B$11,"LOW",""))</f>
        <v/>
      </c>
    </row>
    <row r="102" customFormat="false" ht="15" hidden="false" customHeight="false" outlineLevel="0" collapsed="false">
      <c r="A102" s="7" t="str">
        <f aca="false">IF('1 Setup &amp; Keys'!$A$39="","",'1 Setup &amp; Keys'!$A$39)</f>
        <v/>
      </c>
      <c r="B102" s="20" t="str">
        <f aca="false">IF('1 Setup &amp; Keys'!$A$39="","",'1 Setup &amp; Keys'!$B$39)</f>
        <v/>
      </c>
      <c r="C102" s="20" t="str">
        <f aca="false">IF('1 Setup &amp; Keys'!$A$39="","",COUNTIFS('7 Screening'!$I$5:$I$204,1,'2 Import Main'!$B$5:$B$204,'1 Setup &amp; Keys'!$A$39))</f>
        <v/>
      </c>
      <c r="D102" s="29" t="str">
        <f aca="false">IF(OR('1 Setup &amp; Keys'!$A$39="",'1 Setup &amp; Keys'!$B$39=""),"",IFERROR(C102/'1 Setup &amp; Keys'!$B$39,""))</f>
        <v/>
      </c>
      <c r="E102" s="19" t="str">
        <f aca="false">IF('1 Setup &amp; Keys'!$A$39="","",IFERROR(AVERAGEIFS('2 Import Main'!BK5:BK204,'7 Screening'!$I$5:$I$204,1,'2 Import Main'!$B$5:$B$204,'1 Setup &amp; Keys'!$A$39),""))</f>
        <v/>
      </c>
      <c r="F102" s="19" t="str">
        <f aca="false">IF('1 Setup &amp; Keys'!$A$39="","",IFERROR(AVERAGEIFS('2 Import Main'!BL5:BL204,'7 Screening'!$I$5:$I$204,1,'2 Import Main'!$B$5:$B$204,'1 Setup &amp; Keys'!$A$39),""))</f>
        <v/>
      </c>
      <c r="G102" s="19" t="str">
        <f aca="false">IF('1 Setup &amp; Keys'!$A$39="","",IFERROR(AVERAGEIFS('2 Import Main'!BM5:BM204,'7 Screening'!$I$5:$I$204,1,'2 Import Main'!$B$5:$B$204,'1 Setup &amp; Keys'!$A$39),""))</f>
        <v/>
      </c>
      <c r="H102" s="30" t="str">
        <f aca="false">IF('1 Setup &amp; Keys'!$A$39="","",IFERROR((AVERAGE(E102:G102)-1)*25,""))</f>
        <v/>
      </c>
      <c r="I102" s="6" t="str">
        <f aca="false">IF('1 Setup &amp; Keys'!$A$39="","",IF(C102&lt;Reference!$B$11,"LOW",""))</f>
        <v/>
      </c>
    </row>
    <row r="103" customFormat="false" ht="15" hidden="false" customHeight="false" outlineLevel="0" collapsed="false">
      <c r="A103" s="7" t="str">
        <f aca="false">IF('1 Setup &amp; Keys'!$A$40="","",'1 Setup &amp; Keys'!$A$40)</f>
        <v/>
      </c>
      <c r="B103" s="20" t="str">
        <f aca="false">IF('1 Setup &amp; Keys'!$A$40="","",'1 Setup &amp; Keys'!$B$40)</f>
        <v/>
      </c>
      <c r="C103" s="20" t="str">
        <f aca="false">IF('1 Setup &amp; Keys'!$A$40="","",COUNTIFS('7 Screening'!$I$5:$I$204,1,'2 Import Main'!$B$5:$B$204,'1 Setup &amp; Keys'!$A$40))</f>
        <v/>
      </c>
      <c r="D103" s="29" t="str">
        <f aca="false">IF(OR('1 Setup &amp; Keys'!$A$40="",'1 Setup &amp; Keys'!$B$40=""),"",IFERROR(C103/'1 Setup &amp; Keys'!$B$40,""))</f>
        <v/>
      </c>
      <c r="E103" s="19" t="str">
        <f aca="false">IF('1 Setup &amp; Keys'!$A$40="","",IFERROR(AVERAGEIFS('2 Import Main'!BK5:BK204,'7 Screening'!$I$5:$I$204,1,'2 Import Main'!$B$5:$B$204,'1 Setup &amp; Keys'!$A$40),""))</f>
        <v/>
      </c>
      <c r="F103" s="19" t="str">
        <f aca="false">IF('1 Setup &amp; Keys'!$A$40="","",IFERROR(AVERAGEIFS('2 Import Main'!BL5:BL204,'7 Screening'!$I$5:$I$204,1,'2 Import Main'!$B$5:$B$204,'1 Setup &amp; Keys'!$A$40),""))</f>
        <v/>
      </c>
      <c r="G103" s="19" t="str">
        <f aca="false">IF('1 Setup &amp; Keys'!$A$40="","",IFERROR(AVERAGEIFS('2 Import Main'!BM5:BM204,'7 Screening'!$I$5:$I$204,1,'2 Import Main'!$B$5:$B$204,'1 Setup &amp; Keys'!$A$40),""))</f>
        <v/>
      </c>
      <c r="H103" s="30" t="str">
        <f aca="false">IF('1 Setup &amp; Keys'!$A$40="","",IFERROR((AVERAGE(E103:G103)-1)*25,""))</f>
        <v/>
      </c>
      <c r="I103" s="6" t="str">
        <f aca="false">IF('1 Setup &amp; Keys'!$A$40="","",IF(C103&lt;Reference!$B$11,"LOW",""))</f>
        <v/>
      </c>
    </row>
    <row r="104" customFormat="false" ht="15" hidden="false" customHeight="false" outlineLevel="0" collapsed="false">
      <c r="A104" s="7" t="str">
        <f aca="false">IF('1 Setup &amp; Keys'!$A$41="","",'1 Setup &amp; Keys'!$A$41)</f>
        <v/>
      </c>
      <c r="B104" s="20" t="str">
        <f aca="false">IF('1 Setup &amp; Keys'!$A$41="","",'1 Setup &amp; Keys'!$B$41)</f>
        <v/>
      </c>
      <c r="C104" s="20" t="str">
        <f aca="false">IF('1 Setup &amp; Keys'!$A$41="","",COUNTIFS('7 Screening'!$I$5:$I$204,1,'2 Import Main'!$B$5:$B$204,'1 Setup &amp; Keys'!$A$41))</f>
        <v/>
      </c>
      <c r="D104" s="29" t="str">
        <f aca="false">IF(OR('1 Setup &amp; Keys'!$A$41="",'1 Setup &amp; Keys'!$B$41=""),"",IFERROR(C104/'1 Setup &amp; Keys'!$B$41,""))</f>
        <v/>
      </c>
      <c r="E104" s="19" t="str">
        <f aca="false">IF('1 Setup &amp; Keys'!$A$41="","",IFERROR(AVERAGEIFS('2 Import Main'!BK5:BK204,'7 Screening'!$I$5:$I$204,1,'2 Import Main'!$B$5:$B$204,'1 Setup &amp; Keys'!$A$41),""))</f>
        <v/>
      </c>
      <c r="F104" s="19" t="str">
        <f aca="false">IF('1 Setup &amp; Keys'!$A$41="","",IFERROR(AVERAGEIFS('2 Import Main'!BL5:BL204,'7 Screening'!$I$5:$I$204,1,'2 Import Main'!$B$5:$B$204,'1 Setup &amp; Keys'!$A$41),""))</f>
        <v/>
      </c>
      <c r="G104" s="19" t="str">
        <f aca="false">IF('1 Setup &amp; Keys'!$A$41="","",IFERROR(AVERAGEIFS('2 Import Main'!BM5:BM204,'7 Screening'!$I$5:$I$204,1,'2 Import Main'!$B$5:$B$204,'1 Setup &amp; Keys'!$A$41),""))</f>
        <v/>
      </c>
      <c r="H104" s="30" t="str">
        <f aca="false">IF('1 Setup &amp; Keys'!$A$41="","",IFERROR((AVERAGE(E104:G104)-1)*25,""))</f>
        <v/>
      </c>
      <c r="I104" s="6" t="str">
        <f aca="false">IF('1 Setup &amp; Keys'!$A$41="","",IF(C104&lt;Reference!$B$11,"LOW",""))</f>
        <v/>
      </c>
    </row>
  </sheetData>
  <sheetProtection sheet="true" formatCells="false" formatColumns="false" formatRows="false"/>
  <mergeCells count="6">
    <mergeCell ref="A1:F1"/>
    <mergeCell ref="A2:F2"/>
    <mergeCell ref="A77:F77"/>
    <mergeCell ref="A78:F78"/>
    <mergeCell ref="A92:I92"/>
    <mergeCell ref="A93:I9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5" min="4" style="0" width="12"/>
    <col collapsed="false" customWidth="true" hidden="false" outlineLevel="0" max="8" min="6" style="0" width="10"/>
  </cols>
  <sheetData>
    <row r="1" customFormat="false" ht="25.5" hidden="false" customHeight="true" outlineLevel="0" collapsed="false">
      <c r="A1" s="1" t="s">
        <v>253</v>
      </c>
      <c r="B1" s="1"/>
      <c r="C1" s="1"/>
      <c r="D1" s="1"/>
      <c r="E1" s="1"/>
      <c r="F1" s="1"/>
      <c r="G1" s="1"/>
      <c r="H1" s="1"/>
    </row>
    <row r="2" customFormat="false" ht="13.5" hidden="false" customHeight="true" outlineLevel="0" collapsed="false">
      <c r="A2" s="2" t="s">
        <v>254</v>
      </c>
      <c r="B2" s="2"/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A4" s="10" t="s">
        <v>255</v>
      </c>
      <c r="B4" s="10"/>
      <c r="C4" s="10"/>
      <c r="D4" s="10"/>
      <c r="E4" s="10"/>
      <c r="F4" s="10"/>
      <c r="G4" s="10"/>
      <c r="H4" s="10"/>
    </row>
    <row r="5" customFormat="false" ht="15" hidden="false" customHeight="false" outlineLevel="0" collapsed="false">
      <c r="A5" s="15" t="s">
        <v>34</v>
      </c>
      <c r="B5" s="15" t="s">
        <v>256</v>
      </c>
      <c r="C5" s="15" t="s">
        <v>257</v>
      </c>
      <c r="D5" s="15" t="s">
        <v>258</v>
      </c>
      <c r="E5" s="15" t="s">
        <v>259</v>
      </c>
      <c r="F5" s="15" t="s">
        <v>260</v>
      </c>
      <c r="G5" s="15" t="s">
        <v>261</v>
      </c>
      <c r="H5" s="15" t="s">
        <v>262</v>
      </c>
    </row>
    <row r="6" customFormat="false" ht="15" hidden="false" customHeight="false" outlineLevel="0" collapsed="false">
      <c r="A6" s="7" t="str">
        <f aca="false">IF('1 Setup &amp; Keys'!$D$32="","",'1 Setup &amp; Keys'!$D$32)</f>
        <v/>
      </c>
      <c r="B6" s="20" t="str">
        <f aca="false">IF('1 Setup &amp; Keys'!$D$32="","",COUNTIFS('4 Import Leadership'!$B$5:$B$154,'1 Setup &amp; Keys'!$D$32))</f>
        <v/>
      </c>
      <c r="C6" s="19" t="str">
        <f aca="false">IF(OR('1 Setup &amp; Keys'!$D$32="",$B6=0),"",IFERROR(SUMPRODUCT(MAX(('4 Import Leadership'!$B$5:$B$154='1 Setup &amp; Keys'!$D$32)*N('4 Import Leadership'!$I$5:$I$154)))/$B6,""))</f>
        <v/>
      </c>
      <c r="D6" s="19" t="str">
        <f aca="false">IF(OR('1 Setup &amp; Keys'!$D$32="",$B6=0),"",IFERROR(SUMPRODUCT(MAX(('4 Import Leadership'!$B$5:$B$154='1 Setup &amp; Keys'!$D$32)*N('4 Import Leadership'!$J$5:$J$154)))/$B6,""))</f>
        <v/>
      </c>
      <c r="E6" s="19" t="str">
        <f aca="false">IF(OR('1 Setup &amp; Keys'!$D$32="",$B6=0),"",IFERROR(SUMPRODUCT(MAX(('4 Import Leadership'!$B$5:$B$154='1 Setup &amp; Keys'!$D$32)*N('4 Import Leadership'!$K$5:$K$154)))/$B6,""))</f>
        <v/>
      </c>
      <c r="F6" s="19" t="str">
        <f aca="false">IF(OR('1 Setup &amp; Keys'!$D$32="",$B6=0),"",IFERROR(SUMPRODUCT(MAX(('4 Import Leadership'!$B$5:$B$154='1 Setup &amp; Keys'!$D$32)*N('4 Import Leadership'!$L$5:$L$154)))/$B6,""))</f>
        <v/>
      </c>
      <c r="G6" s="19" t="str">
        <f aca="false">IF(OR('1 Setup &amp; Keys'!$D$32="",$B6=0),"",IFERROR(SUMPRODUCT(MAX(('4 Import Leadership'!$B$5:$B$154='1 Setup &amp; Keys'!$D$32)*N('4 Import Leadership'!$M$5:$M$154)))/$B6,""))</f>
        <v/>
      </c>
      <c r="H6" s="19" t="str">
        <f aca="false">IF('1 Setup &amp; Keys'!$D$32="","",IFERROR(AVERAGE(C6:G6),""))</f>
        <v/>
      </c>
    </row>
    <row r="7" customFormat="false" ht="15" hidden="false" customHeight="false" outlineLevel="0" collapsed="false">
      <c r="A7" s="7" t="str">
        <f aca="false">IF('1 Setup &amp; Keys'!$D$33="","",'1 Setup &amp; Keys'!$D$33)</f>
        <v/>
      </c>
      <c r="B7" s="20" t="str">
        <f aca="false">IF('1 Setup &amp; Keys'!$D$33="","",COUNTIFS('4 Import Leadership'!$B$5:$B$154,'1 Setup &amp; Keys'!$D$33))</f>
        <v/>
      </c>
      <c r="C7" s="19" t="str">
        <f aca="false">IF(OR('1 Setup &amp; Keys'!$D$33="",$B7=0),"",IFERROR(SUMPRODUCT(MAX(('4 Import Leadership'!$B$5:$B$154='1 Setup &amp; Keys'!$D$33)*N('4 Import Leadership'!$I$5:$I$154)))/$B7,""))</f>
        <v/>
      </c>
      <c r="D7" s="19" t="str">
        <f aca="false">IF(OR('1 Setup &amp; Keys'!$D$33="",$B7=0),"",IFERROR(SUMPRODUCT(MAX(('4 Import Leadership'!$B$5:$B$154='1 Setup &amp; Keys'!$D$33)*N('4 Import Leadership'!$J$5:$J$154)))/$B7,""))</f>
        <v/>
      </c>
      <c r="E7" s="19" t="str">
        <f aca="false">IF(OR('1 Setup &amp; Keys'!$D$33="",$B7=0),"",IFERROR(SUMPRODUCT(MAX(('4 Import Leadership'!$B$5:$B$154='1 Setup &amp; Keys'!$D$33)*N('4 Import Leadership'!$K$5:$K$154)))/$B7,""))</f>
        <v/>
      </c>
      <c r="F7" s="19" t="str">
        <f aca="false">IF(OR('1 Setup &amp; Keys'!$D$33="",$B7=0),"",IFERROR(SUMPRODUCT(MAX(('4 Import Leadership'!$B$5:$B$154='1 Setup &amp; Keys'!$D$33)*N('4 Import Leadership'!$L$5:$L$154)))/$B7,""))</f>
        <v/>
      </c>
      <c r="G7" s="19" t="str">
        <f aca="false">IF(OR('1 Setup &amp; Keys'!$D$33="",$B7=0),"",IFERROR(SUMPRODUCT(MAX(('4 Import Leadership'!$B$5:$B$154='1 Setup &amp; Keys'!$D$33)*N('4 Import Leadership'!$M$5:$M$154)))/$B7,""))</f>
        <v/>
      </c>
      <c r="H7" s="19" t="str">
        <f aca="false">IF('1 Setup &amp; Keys'!$D$33="","",IFERROR(AVERAGE(C7:G7),""))</f>
        <v/>
      </c>
    </row>
    <row r="8" customFormat="false" ht="15" hidden="false" customHeight="false" outlineLevel="0" collapsed="false">
      <c r="A8" s="7" t="str">
        <f aca="false">IF('1 Setup &amp; Keys'!$D$34="","",'1 Setup &amp; Keys'!$D$34)</f>
        <v/>
      </c>
      <c r="B8" s="20" t="str">
        <f aca="false">IF('1 Setup &amp; Keys'!$D$34="","",COUNTIFS('4 Import Leadership'!$B$5:$B$154,'1 Setup &amp; Keys'!$D$34))</f>
        <v/>
      </c>
      <c r="C8" s="19" t="str">
        <f aca="false">IF(OR('1 Setup &amp; Keys'!$D$34="",$B8=0),"",IFERROR(SUMPRODUCT(MAX(('4 Import Leadership'!$B$5:$B$154='1 Setup &amp; Keys'!$D$34)*N('4 Import Leadership'!$I$5:$I$154)))/$B8,""))</f>
        <v/>
      </c>
      <c r="D8" s="19" t="str">
        <f aca="false">IF(OR('1 Setup &amp; Keys'!$D$34="",$B8=0),"",IFERROR(SUMPRODUCT(MAX(('4 Import Leadership'!$B$5:$B$154='1 Setup &amp; Keys'!$D$34)*N('4 Import Leadership'!$J$5:$J$154)))/$B8,""))</f>
        <v/>
      </c>
      <c r="E8" s="19" t="str">
        <f aca="false">IF(OR('1 Setup &amp; Keys'!$D$34="",$B8=0),"",IFERROR(SUMPRODUCT(MAX(('4 Import Leadership'!$B$5:$B$154='1 Setup &amp; Keys'!$D$34)*N('4 Import Leadership'!$K$5:$K$154)))/$B8,""))</f>
        <v/>
      </c>
      <c r="F8" s="19" t="str">
        <f aca="false">IF(OR('1 Setup &amp; Keys'!$D$34="",$B8=0),"",IFERROR(SUMPRODUCT(MAX(('4 Import Leadership'!$B$5:$B$154='1 Setup &amp; Keys'!$D$34)*N('4 Import Leadership'!$L$5:$L$154)))/$B8,""))</f>
        <v/>
      </c>
      <c r="G8" s="19" t="str">
        <f aca="false">IF(OR('1 Setup &amp; Keys'!$D$34="",$B8=0),"",IFERROR(SUMPRODUCT(MAX(('4 Import Leadership'!$B$5:$B$154='1 Setup &amp; Keys'!$D$34)*N('4 Import Leadership'!$M$5:$M$154)))/$B8,""))</f>
        <v/>
      </c>
      <c r="H8" s="19" t="str">
        <f aca="false">IF('1 Setup &amp; Keys'!$D$34="","",IFERROR(AVERAGE(C8:G8),""))</f>
        <v/>
      </c>
    </row>
    <row r="9" customFormat="false" ht="15" hidden="false" customHeight="false" outlineLevel="0" collapsed="false">
      <c r="A9" s="7" t="str">
        <f aca="false">IF('1 Setup &amp; Keys'!$D$35="","",'1 Setup &amp; Keys'!$D$35)</f>
        <v/>
      </c>
      <c r="B9" s="20" t="str">
        <f aca="false">IF('1 Setup &amp; Keys'!$D$35="","",COUNTIFS('4 Import Leadership'!$B$5:$B$154,'1 Setup &amp; Keys'!$D$35))</f>
        <v/>
      </c>
      <c r="C9" s="19" t="str">
        <f aca="false">IF(OR('1 Setup &amp; Keys'!$D$35="",$B9=0),"",IFERROR(SUMPRODUCT(MAX(('4 Import Leadership'!$B$5:$B$154='1 Setup &amp; Keys'!$D$35)*N('4 Import Leadership'!$I$5:$I$154)))/$B9,""))</f>
        <v/>
      </c>
      <c r="D9" s="19" t="str">
        <f aca="false">IF(OR('1 Setup &amp; Keys'!$D$35="",$B9=0),"",IFERROR(SUMPRODUCT(MAX(('4 Import Leadership'!$B$5:$B$154='1 Setup &amp; Keys'!$D$35)*N('4 Import Leadership'!$J$5:$J$154)))/$B9,""))</f>
        <v/>
      </c>
      <c r="E9" s="19" t="str">
        <f aca="false">IF(OR('1 Setup &amp; Keys'!$D$35="",$B9=0),"",IFERROR(SUMPRODUCT(MAX(('4 Import Leadership'!$B$5:$B$154='1 Setup &amp; Keys'!$D$35)*N('4 Import Leadership'!$K$5:$K$154)))/$B9,""))</f>
        <v/>
      </c>
      <c r="F9" s="19" t="str">
        <f aca="false">IF(OR('1 Setup &amp; Keys'!$D$35="",$B9=0),"",IFERROR(SUMPRODUCT(MAX(('4 Import Leadership'!$B$5:$B$154='1 Setup &amp; Keys'!$D$35)*N('4 Import Leadership'!$L$5:$L$154)))/$B9,""))</f>
        <v/>
      </c>
      <c r="G9" s="19" t="str">
        <f aca="false">IF(OR('1 Setup &amp; Keys'!$D$35="",$B9=0),"",IFERROR(SUMPRODUCT(MAX(('4 Import Leadership'!$B$5:$B$154='1 Setup &amp; Keys'!$D$35)*N('4 Import Leadership'!$M$5:$M$154)))/$B9,""))</f>
        <v/>
      </c>
      <c r="H9" s="19" t="str">
        <f aca="false">IF('1 Setup &amp; Keys'!$D$35="","",IFERROR(AVERAGE(C9:G9),""))</f>
        <v/>
      </c>
    </row>
    <row r="10" customFormat="false" ht="15" hidden="false" customHeight="false" outlineLevel="0" collapsed="false">
      <c r="A10" s="7" t="str">
        <f aca="false">IF('1 Setup &amp; Keys'!$D$36="","",'1 Setup &amp; Keys'!$D$36)</f>
        <v/>
      </c>
      <c r="B10" s="20" t="str">
        <f aca="false">IF('1 Setup &amp; Keys'!$D$36="","",COUNTIFS('4 Import Leadership'!$B$5:$B$154,'1 Setup &amp; Keys'!$D$36))</f>
        <v/>
      </c>
      <c r="C10" s="19" t="str">
        <f aca="false">IF(OR('1 Setup &amp; Keys'!$D$36="",$B10=0),"",IFERROR(SUMPRODUCT(MAX(('4 Import Leadership'!$B$5:$B$154='1 Setup &amp; Keys'!$D$36)*N('4 Import Leadership'!$I$5:$I$154)))/$B10,""))</f>
        <v/>
      </c>
      <c r="D10" s="19" t="str">
        <f aca="false">IF(OR('1 Setup &amp; Keys'!$D$36="",$B10=0),"",IFERROR(SUMPRODUCT(MAX(('4 Import Leadership'!$B$5:$B$154='1 Setup &amp; Keys'!$D$36)*N('4 Import Leadership'!$J$5:$J$154)))/$B10,""))</f>
        <v/>
      </c>
      <c r="E10" s="19" t="str">
        <f aca="false">IF(OR('1 Setup &amp; Keys'!$D$36="",$B10=0),"",IFERROR(SUMPRODUCT(MAX(('4 Import Leadership'!$B$5:$B$154='1 Setup &amp; Keys'!$D$36)*N('4 Import Leadership'!$K$5:$K$154)))/$B10,""))</f>
        <v/>
      </c>
      <c r="F10" s="19" t="str">
        <f aca="false">IF(OR('1 Setup &amp; Keys'!$D$36="",$B10=0),"",IFERROR(SUMPRODUCT(MAX(('4 Import Leadership'!$B$5:$B$154='1 Setup &amp; Keys'!$D$36)*N('4 Import Leadership'!$L$5:$L$154)))/$B10,""))</f>
        <v/>
      </c>
      <c r="G10" s="19" t="str">
        <f aca="false">IF(OR('1 Setup &amp; Keys'!$D$36="",$B10=0),"",IFERROR(SUMPRODUCT(MAX(('4 Import Leadership'!$B$5:$B$154='1 Setup &amp; Keys'!$D$36)*N('4 Import Leadership'!$M$5:$M$154)))/$B10,""))</f>
        <v/>
      </c>
      <c r="H10" s="19" t="str">
        <f aca="false">IF('1 Setup &amp; Keys'!$D$36="","",IFERROR(AVERAGE(C10:G10),""))</f>
        <v/>
      </c>
    </row>
    <row r="11" customFormat="false" ht="15" hidden="false" customHeight="false" outlineLevel="0" collapsed="false">
      <c r="A11" s="7" t="str">
        <f aca="false">IF('1 Setup &amp; Keys'!$D$37="","",'1 Setup &amp; Keys'!$D$37)</f>
        <v/>
      </c>
      <c r="B11" s="20" t="str">
        <f aca="false">IF('1 Setup &amp; Keys'!$D$37="","",COUNTIFS('4 Import Leadership'!$B$5:$B$154,'1 Setup &amp; Keys'!$D$37))</f>
        <v/>
      </c>
      <c r="C11" s="19" t="str">
        <f aca="false">IF(OR('1 Setup &amp; Keys'!$D$37="",$B11=0),"",IFERROR(SUMPRODUCT(MAX(('4 Import Leadership'!$B$5:$B$154='1 Setup &amp; Keys'!$D$37)*N('4 Import Leadership'!$I$5:$I$154)))/$B11,""))</f>
        <v/>
      </c>
      <c r="D11" s="19" t="str">
        <f aca="false">IF(OR('1 Setup &amp; Keys'!$D$37="",$B11=0),"",IFERROR(SUMPRODUCT(MAX(('4 Import Leadership'!$B$5:$B$154='1 Setup &amp; Keys'!$D$37)*N('4 Import Leadership'!$J$5:$J$154)))/$B11,""))</f>
        <v/>
      </c>
      <c r="E11" s="19" t="str">
        <f aca="false">IF(OR('1 Setup &amp; Keys'!$D$37="",$B11=0),"",IFERROR(SUMPRODUCT(MAX(('4 Import Leadership'!$B$5:$B$154='1 Setup &amp; Keys'!$D$37)*N('4 Import Leadership'!$K$5:$K$154)))/$B11,""))</f>
        <v/>
      </c>
      <c r="F11" s="19" t="str">
        <f aca="false">IF(OR('1 Setup &amp; Keys'!$D$37="",$B11=0),"",IFERROR(SUMPRODUCT(MAX(('4 Import Leadership'!$B$5:$B$154='1 Setup &amp; Keys'!$D$37)*N('4 Import Leadership'!$L$5:$L$154)))/$B11,""))</f>
        <v/>
      </c>
      <c r="G11" s="19" t="str">
        <f aca="false">IF(OR('1 Setup &amp; Keys'!$D$37="",$B11=0),"",IFERROR(SUMPRODUCT(MAX(('4 Import Leadership'!$B$5:$B$154='1 Setup &amp; Keys'!$D$37)*N('4 Import Leadership'!$M$5:$M$154)))/$B11,""))</f>
        <v/>
      </c>
      <c r="H11" s="19" t="str">
        <f aca="false">IF('1 Setup &amp; Keys'!$D$37="","",IFERROR(AVERAGE(C11:G11),""))</f>
        <v/>
      </c>
    </row>
    <row r="12" customFormat="false" ht="15" hidden="false" customHeight="false" outlineLevel="0" collapsed="false">
      <c r="A12" s="7" t="str">
        <f aca="false">IF('1 Setup &amp; Keys'!$D$38="","",'1 Setup &amp; Keys'!$D$38)</f>
        <v/>
      </c>
      <c r="B12" s="20" t="str">
        <f aca="false">IF('1 Setup &amp; Keys'!$D$38="","",COUNTIFS('4 Import Leadership'!$B$5:$B$154,'1 Setup &amp; Keys'!$D$38))</f>
        <v/>
      </c>
      <c r="C12" s="19" t="str">
        <f aca="false">IF(OR('1 Setup &amp; Keys'!$D$38="",$B12=0),"",IFERROR(SUMPRODUCT(MAX(('4 Import Leadership'!$B$5:$B$154='1 Setup &amp; Keys'!$D$38)*N('4 Import Leadership'!$I$5:$I$154)))/$B12,""))</f>
        <v/>
      </c>
      <c r="D12" s="19" t="str">
        <f aca="false">IF(OR('1 Setup &amp; Keys'!$D$38="",$B12=0),"",IFERROR(SUMPRODUCT(MAX(('4 Import Leadership'!$B$5:$B$154='1 Setup &amp; Keys'!$D$38)*N('4 Import Leadership'!$J$5:$J$154)))/$B12,""))</f>
        <v/>
      </c>
      <c r="E12" s="19" t="str">
        <f aca="false">IF(OR('1 Setup &amp; Keys'!$D$38="",$B12=0),"",IFERROR(SUMPRODUCT(MAX(('4 Import Leadership'!$B$5:$B$154='1 Setup &amp; Keys'!$D$38)*N('4 Import Leadership'!$K$5:$K$154)))/$B12,""))</f>
        <v/>
      </c>
      <c r="F12" s="19" t="str">
        <f aca="false">IF(OR('1 Setup &amp; Keys'!$D$38="",$B12=0),"",IFERROR(SUMPRODUCT(MAX(('4 Import Leadership'!$B$5:$B$154='1 Setup &amp; Keys'!$D$38)*N('4 Import Leadership'!$L$5:$L$154)))/$B12,""))</f>
        <v/>
      </c>
      <c r="G12" s="19" t="str">
        <f aca="false">IF(OR('1 Setup &amp; Keys'!$D$38="",$B12=0),"",IFERROR(SUMPRODUCT(MAX(('4 Import Leadership'!$B$5:$B$154='1 Setup &amp; Keys'!$D$38)*N('4 Import Leadership'!$M$5:$M$154)))/$B12,""))</f>
        <v/>
      </c>
      <c r="H12" s="19" t="str">
        <f aca="false">IF('1 Setup &amp; Keys'!$D$38="","",IFERROR(AVERAGE(C12:G12),""))</f>
        <v/>
      </c>
    </row>
    <row r="13" customFormat="false" ht="15" hidden="false" customHeight="false" outlineLevel="0" collapsed="false">
      <c r="A13" s="7" t="str">
        <f aca="false">IF('1 Setup &amp; Keys'!$D$39="","",'1 Setup &amp; Keys'!$D$39)</f>
        <v/>
      </c>
      <c r="B13" s="20" t="str">
        <f aca="false">IF('1 Setup &amp; Keys'!$D$39="","",COUNTIFS('4 Import Leadership'!$B$5:$B$154,'1 Setup &amp; Keys'!$D$39))</f>
        <v/>
      </c>
      <c r="C13" s="19" t="str">
        <f aca="false">IF(OR('1 Setup &amp; Keys'!$D$39="",$B13=0),"",IFERROR(SUMPRODUCT(MAX(('4 Import Leadership'!$B$5:$B$154='1 Setup &amp; Keys'!$D$39)*N('4 Import Leadership'!$I$5:$I$154)))/$B13,""))</f>
        <v/>
      </c>
      <c r="D13" s="19" t="str">
        <f aca="false">IF(OR('1 Setup &amp; Keys'!$D$39="",$B13=0),"",IFERROR(SUMPRODUCT(MAX(('4 Import Leadership'!$B$5:$B$154='1 Setup &amp; Keys'!$D$39)*N('4 Import Leadership'!$J$5:$J$154)))/$B13,""))</f>
        <v/>
      </c>
      <c r="E13" s="19" t="str">
        <f aca="false">IF(OR('1 Setup &amp; Keys'!$D$39="",$B13=0),"",IFERROR(SUMPRODUCT(MAX(('4 Import Leadership'!$B$5:$B$154='1 Setup &amp; Keys'!$D$39)*N('4 Import Leadership'!$K$5:$K$154)))/$B13,""))</f>
        <v/>
      </c>
      <c r="F13" s="19" t="str">
        <f aca="false">IF(OR('1 Setup &amp; Keys'!$D$39="",$B13=0),"",IFERROR(SUMPRODUCT(MAX(('4 Import Leadership'!$B$5:$B$154='1 Setup &amp; Keys'!$D$39)*N('4 Import Leadership'!$L$5:$L$154)))/$B13,""))</f>
        <v/>
      </c>
      <c r="G13" s="19" t="str">
        <f aca="false">IF(OR('1 Setup &amp; Keys'!$D$39="",$B13=0),"",IFERROR(SUMPRODUCT(MAX(('4 Import Leadership'!$B$5:$B$154='1 Setup &amp; Keys'!$D$39)*N('4 Import Leadership'!$M$5:$M$154)))/$B13,""))</f>
        <v/>
      </c>
      <c r="H13" s="19" t="str">
        <f aca="false">IF('1 Setup &amp; Keys'!$D$39="","",IFERROR(AVERAGE(C13:G13),""))</f>
        <v/>
      </c>
    </row>
    <row r="14" customFormat="false" ht="15" hidden="false" customHeight="false" outlineLevel="0" collapsed="false">
      <c r="A14" s="7" t="str">
        <f aca="false">IF('1 Setup &amp; Keys'!$D$40="","",'1 Setup &amp; Keys'!$D$40)</f>
        <v/>
      </c>
      <c r="B14" s="20" t="str">
        <f aca="false">IF('1 Setup &amp; Keys'!$D$40="","",COUNTIFS('4 Import Leadership'!$B$5:$B$154,'1 Setup &amp; Keys'!$D$40))</f>
        <v/>
      </c>
      <c r="C14" s="19" t="str">
        <f aca="false">IF(OR('1 Setup &amp; Keys'!$D$40="",$B14=0),"",IFERROR(SUMPRODUCT(MAX(('4 Import Leadership'!$B$5:$B$154='1 Setup &amp; Keys'!$D$40)*N('4 Import Leadership'!$I$5:$I$154)))/$B14,""))</f>
        <v/>
      </c>
      <c r="D14" s="19" t="str">
        <f aca="false">IF(OR('1 Setup &amp; Keys'!$D$40="",$B14=0),"",IFERROR(SUMPRODUCT(MAX(('4 Import Leadership'!$B$5:$B$154='1 Setup &amp; Keys'!$D$40)*N('4 Import Leadership'!$J$5:$J$154)))/$B14,""))</f>
        <v/>
      </c>
      <c r="E14" s="19" t="str">
        <f aca="false">IF(OR('1 Setup &amp; Keys'!$D$40="",$B14=0),"",IFERROR(SUMPRODUCT(MAX(('4 Import Leadership'!$B$5:$B$154='1 Setup &amp; Keys'!$D$40)*N('4 Import Leadership'!$K$5:$K$154)))/$B14,""))</f>
        <v/>
      </c>
      <c r="F14" s="19" t="str">
        <f aca="false">IF(OR('1 Setup &amp; Keys'!$D$40="",$B14=0),"",IFERROR(SUMPRODUCT(MAX(('4 Import Leadership'!$B$5:$B$154='1 Setup &amp; Keys'!$D$40)*N('4 Import Leadership'!$L$5:$L$154)))/$B14,""))</f>
        <v/>
      </c>
      <c r="G14" s="19" t="str">
        <f aca="false">IF(OR('1 Setup &amp; Keys'!$D$40="",$B14=0),"",IFERROR(SUMPRODUCT(MAX(('4 Import Leadership'!$B$5:$B$154='1 Setup &amp; Keys'!$D$40)*N('4 Import Leadership'!$M$5:$M$154)))/$B14,""))</f>
        <v/>
      </c>
      <c r="H14" s="19" t="str">
        <f aca="false">IF('1 Setup &amp; Keys'!$D$40="","",IFERROR(AVERAGE(C14:G14),""))</f>
        <v/>
      </c>
    </row>
    <row r="15" customFormat="false" ht="15" hidden="false" customHeight="false" outlineLevel="0" collapsed="false">
      <c r="A15" s="7" t="str">
        <f aca="false">IF('1 Setup &amp; Keys'!$D$41="","",'1 Setup &amp; Keys'!$D$41)</f>
        <v/>
      </c>
      <c r="B15" s="20" t="str">
        <f aca="false">IF('1 Setup &amp; Keys'!$D$41="","",COUNTIFS('4 Import Leadership'!$B$5:$B$154,'1 Setup &amp; Keys'!$D$41))</f>
        <v/>
      </c>
      <c r="C15" s="19" t="str">
        <f aca="false">IF(OR('1 Setup &amp; Keys'!$D$41="",$B15=0),"",IFERROR(SUMPRODUCT(MAX(('4 Import Leadership'!$B$5:$B$154='1 Setup &amp; Keys'!$D$41)*N('4 Import Leadership'!$I$5:$I$154)))/$B15,""))</f>
        <v/>
      </c>
      <c r="D15" s="19" t="str">
        <f aca="false">IF(OR('1 Setup &amp; Keys'!$D$41="",$B15=0),"",IFERROR(SUMPRODUCT(MAX(('4 Import Leadership'!$B$5:$B$154='1 Setup &amp; Keys'!$D$41)*N('4 Import Leadership'!$J$5:$J$154)))/$B15,""))</f>
        <v/>
      </c>
      <c r="E15" s="19" t="str">
        <f aca="false">IF(OR('1 Setup &amp; Keys'!$D$41="",$B15=0),"",IFERROR(SUMPRODUCT(MAX(('4 Import Leadership'!$B$5:$B$154='1 Setup &amp; Keys'!$D$41)*N('4 Import Leadership'!$K$5:$K$154)))/$B15,""))</f>
        <v/>
      </c>
      <c r="F15" s="19" t="str">
        <f aca="false">IF(OR('1 Setup &amp; Keys'!$D$41="",$B15=0),"",IFERROR(SUMPRODUCT(MAX(('4 Import Leadership'!$B$5:$B$154='1 Setup &amp; Keys'!$D$41)*N('4 Import Leadership'!$L$5:$L$154)))/$B15,""))</f>
        <v/>
      </c>
      <c r="G15" s="19" t="str">
        <f aca="false">IF(OR('1 Setup &amp; Keys'!$D$41="",$B15=0),"",IFERROR(SUMPRODUCT(MAX(('4 Import Leadership'!$B$5:$B$154='1 Setup &amp; Keys'!$D$41)*N('4 Import Leadership'!$M$5:$M$154)))/$B15,""))</f>
        <v/>
      </c>
      <c r="H15" s="19" t="str">
        <f aca="false">IF('1 Setup &amp; Keys'!$D$41="","",IFERROR(AVERAGE(C15:G15),""))</f>
        <v/>
      </c>
    </row>
    <row r="16" customFormat="false" ht="15" hidden="false" customHeight="false" outlineLevel="0" collapsed="false">
      <c r="A16" s="7" t="str">
        <f aca="false">IF('1 Setup &amp; Keys'!$D$42="","",'1 Setup &amp; Keys'!$D$42)</f>
        <v/>
      </c>
      <c r="B16" s="20" t="str">
        <f aca="false">IF('1 Setup &amp; Keys'!$D$42="","",COUNTIFS('4 Import Leadership'!$B$5:$B$154,'1 Setup &amp; Keys'!$D$42))</f>
        <v/>
      </c>
      <c r="C16" s="19" t="str">
        <f aca="false">IF(OR('1 Setup &amp; Keys'!$D$42="",$B16=0),"",IFERROR(SUMPRODUCT(MAX(('4 Import Leadership'!$B$5:$B$154='1 Setup &amp; Keys'!$D$42)*N('4 Import Leadership'!$I$5:$I$154)))/$B16,""))</f>
        <v/>
      </c>
      <c r="D16" s="19" t="str">
        <f aca="false">IF(OR('1 Setup &amp; Keys'!$D$42="",$B16=0),"",IFERROR(SUMPRODUCT(MAX(('4 Import Leadership'!$B$5:$B$154='1 Setup &amp; Keys'!$D$42)*N('4 Import Leadership'!$J$5:$J$154)))/$B16,""))</f>
        <v/>
      </c>
      <c r="E16" s="19" t="str">
        <f aca="false">IF(OR('1 Setup &amp; Keys'!$D$42="",$B16=0),"",IFERROR(SUMPRODUCT(MAX(('4 Import Leadership'!$B$5:$B$154='1 Setup &amp; Keys'!$D$42)*N('4 Import Leadership'!$K$5:$K$154)))/$B16,""))</f>
        <v/>
      </c>
      <c r="F16" s="19" t="str">
        <f aca="false">IF(OR('1 Setup &amp; Keys'!$D$42="",$B16=0),"",IFERROR(SUMPRODUCT(MAX(('4 Import Leadership'!$B$5:$B$154='1 Setup &amp; Keys'!$D$42)*N('4 Import Leadership'!$L$5:$L$154)))/$B16,""))</f>
        <v/>
      </c>
      <c r="G16" s="19" t="str">
        <f aca="false">IF(OR('1 Setup &amp; Keys'!$D$42="",$B16=0),"",IFERROR(SUMPRODUCT(MAX(('4 Import Leadership'!$B$5:$B$154='1 Setup &amp; Keys'!$D$42)*N('4 Import Leadership'!$M$5:$M$154)))/$B16,""))</f>
        <v/>
      </c>
      <c r="H16" s="19" t="str">
        <f aca="false">IF('1 Setup &amp; Keys'!$D$42="","",IFERROR(AVERAGE(C16:G16),""))</f>
        <v/>
      </c>
    </row>
    <row r="17" customFormat="false" ht="15" hidden="false" customHeight="false" outlineLevel="0" collapsed="false">
      <c r="A17" s="7" t="str">
        <f aca="false">IF('1 Setup &amp; Keys'!$D$43="","",'1 Setup &amp; Keys'!$D$43)</f>
        <v/>
      </c>
      <c r="B17" s="20" t="str">
        <f aca="false">IF('1 Setup &amp; Keys'!$D$43="","",COUNTIFS('4 Import Leadership'!$B$5:$B$154,'1 Setup &amp; Keys'!$D$43))</f>
        <v/>
      </c>
      <c r="C17" s="19" t="str">
        <f aca="false">IF(OR('1 Setup &amp; Keys'!$D$43="",$B17=0),"",IFERROR(SUMPRODUCT(MAX(('4 Import Leadership'!$B$5:$B$154='1 Setup &amp; Keys'!$D$43)*N('4 Import Leadership'!$I$5:$I$154)))/$B17,""))</f>
        <v/>
      </c>
      <c r="D17" s="19" t="str">
        <f aca="false">IF(OR('1 Setup &amp; Keys'!$D$43="",$B17=0),"",IFERROR(SUMPRODUCT(MAX(('4 Import Leadership'!$B$5:$B$154='1 Setup &amp; Keys'!$D$43)*N('4 Import Leadership'!$J$5:$J$154)))/$B17,""))</f>
        <v/>
      </c>
      <c r="E17" s="19" t="str">
        <f aca="false">IF(OR('1 Setup &amp; Keys'!$D$43="",$B17=0),"",IFERROR(SUMPRODUCT(MAX(('4 Import Leadership'!$B$5:$B$154='1 Setup &amp; Keys'!$D$43)*N('4 Import Leadership'!$K$5:$K$154)))/$B17,""))</f>
        <v/>
      </c>
      <c r="F17" s="19" t="str">
        <f aca="false">IF(OR('1 Setup &amp; Keys'!$D$43="",$B17=0),"",IFERROR(SUMPRODUCT(MAX(('4 Import Leadership'!$B$5:$B$154='1 Setup &amp; Keys'!$D$43)*N('4 Import Leadership'!$L$5:$L$154)))/$B17,""))</f>
        <v/>
      </c>
      <c r="G17" s="19" t="str">
        <f aca="false">IF(OR('1 Setup &amp; Keys'!$D$43="",$B17=0),"",IFERROR(SUMPRODUCT(MAX(('4 Import Leadership'!$B$5:$B$154='1 Setup &amp; Keys'!$D$43)*N('4 Import Leadership'!$M$5:$M$154)))/$B17,""))</f>
        <v/>
      </c>
      <c r="H17" s="19" t="str">
        <f aca="false">IF('1 Setup &amp; Keys'!$D$43="","",IFERROR(AVERAGE(C17:G17),""))</f>
        <v/>
      </c>
    </row>
    <row r="19" customFormat="false" ht="15" hidden="false" customHeight="true" outlineLevel="0" collapsed="false">
      <c r="A19" s="8" t="s">
        <v>263</v>
      </c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0" collapsed="false">
      <c r="A20" s="15" t="s">
        <v>34</v>
      </c>
      <c r="B20" s="15" t="s">
        <v>264</v>
      </c>
    </row>
    <row r="21" customFormat="false" ht="15" hidden="false" customHeight="false" outlineLevel="0" collapsed="false">
      <c r="A21" s="7" t="str">
        <f aca="false">IF('1 Setup &amp; Keys'!$D$32="","",'1 Setup &amp; Keys'!$D$32)</f>
        <v/>
      </c>
      <c r="B21" s="19" t="str">
        <f aca="false">IF('1 Setup &amp; Keys'!$D$32="","",IFERROR((AVERAGEIFS('4 Import Leadership'!$H$5:$H$154,'4 Import Leadership'!$B$5:$B$154,'1 Setup &amp; Keys'!$D$32)-1)*25,""))</f>
        <v/>
      </c>
    </row>
    <row r="22" customFormat="false" ht="15" hidden="false" customHeight="false" outlineLevel="0" collapsed="false">
      <c r="A22" s="7" t="str">
        <f aca="false">IF('1 Setup &amp; Keys'!$D$33="","",'1 Setup &amp; Keys'!$D$33)</f>
        <v/>
      </c>
      <c r="B22" s="19" t="str">
        <f aca="false">IF('1 Setup &amp; Keys'!$D$33="","",IFERROR((AVERAGEIFS('4 Import Leadership'!$H$5:$H$154,'4 Import Leadership'!$B$5:$B$154,'1 Setup &amp; Keys'!$D$33)-1)*25,""))</f>
        <v/>
      </c>
    </row>
    <row r="23" customFormat="false" ht="15" hidden="false" customHeight="false" outlineLevel="0" collapsed="false">
      <c r="A23" s="7" t="str">
        <f aca="false">IF('1 Setup &amp; Keys'!$D$34="","",'1 Setup &amp; Keys'!$D$34)</f>
        <v/>
      </c>
      <c r="B23" s="19" t="str">
        <f aca="false">IF('1 Setup &amp; Keys'!$D$34="","",IFERROR((AVERAGEIFS('4 Import Leadership'!$H$5:$H$154,'4 Import Leadership'!$B$5:$B$154,'1 Setup &amp; Keys'!$D$34)-1)*25,""))</f>
        <v/>
      </c>
    </row>
    <row r="24" customFormat="false" ht="15" hidden="false" customHeight="false" outlineLevel="0" collapsed="false">
      <c r="A24" s="7" t="str">
        <f aca="false">IF('1 Setup &amp; Keys'!$D$35="","",'1 Setup &amp; Keys'!$D$35)</f>
        <v/>
      </c>
      <c r="B24" s="19" t="str">
        <f aca="false">IF('1 Setup &amp; Keys'!$D$35="","",IFERROR((AVERAGEIFS('4 Import Leadership'!$H$5:$H$154,'4 Import Leadership'!$B$5:$B$154,'1 Setup &amp; Keys'!$D$35)-1)*25,""))</f>
        <v/>
      </c>
    </row>
    <row r="25" customFormat="false" ht="15" hidden="false" customHeight="false" outlineLevel="0" collapsed="false">
      <c r="A25" s="7" t="str">
        <f aca="false">IF('1 Setup &amp; Keys'!$D$36="","",'1 Setup &amp; Keys'!$D$36)</f>
        <v/>
      </c>
      <c r="B25" s="19" t="str">
        <f aca="false">IF('1 Setup &amp; Keys'!$D$36="","",IFERROR((AVERAGEIFS('4 Import Leadership'!$H$5:$H$154,'4 Import Leadership'!$B$5:$B$154,'1 Setup &amp; Keys'!$D$36)-1)*25,""))</f>
        <v/>
      </c>
    </row>
    <row r="26" customFormat="false" ht="15" hidden="false" customHeight="false" outlineLevel="0" collapsed="false">
      <c r="A26" s="7" t="str">
        <f aca="false">IF('1 Setup &amp; Keys'!$D$37="","",'1 Setup &amp; Keys'!$D$37)</f>
        <v/>
      </c>
      <c r="B26" s="19" t="str">
        <f aca="false">IF('1 Setup &amp; Keys'!$D$37="","",IFERROR((AVERAGEIFS('4 Import Leadership'!$H$5:$H$154,'4 Import Leadership'!$B$5:$B$154,'1 Setup &amp; Keys'!$D$37)-1)*25,""))</f>
        <v/>
      </c>
    </row>
    <row r="27" customFormat="false" ht="15" hidden="false" customHeight="false" outlineLevel="0" collapsed="false">
      <c r="A27" s="7" t="str">
        <f aca="false">IF('1 Setup &amp; Keys'!$D$38="","",'1 Setup &amp; Keys'!$D$38)</f>
        <v/>
      </c>
      <c r="B27" s="19" t="str">
        <f aca="false">IF('1 Setup &amp; Keys'!$D$38="","",IFERROR((AVERAGEIFS('4 Import Leadership'!$H$5:$H$154,'4 Import Leadership'!$B$5:$B$154,'1 Setup &amp; Keys'!$D$38)-1)*25,""))</f>
        <v/>
      </c>
    </row>
    <row r="28" customFormat="false" ht="15" hidden="false" customHeight="false" outlineLevel="0" collapsed="false">
      <c r="A28" s="7" t="str">
        <f aca="false">IF('1 Setup &amp; Keys'!$D$39="","",'1 Setup &amp; Keys'!$D$39)</f>
        <v/>
      </c>
      <c r="B28" s="19" t="str">
        <f aca="false">IF('1 Setup &amp; Keys'!$D$39="","",IFERROR((AVERAGEIFS('4 Import Leadership'!$H$5:$H$154,'4 Import Leadership'!$B$5:$B$154,'1 Setup &amp; Keys'!$D$39)-1)*25,""))</f>
        <v/>
      </c>
    </row>
    <row r="29" customFormat="false" ht="15" hidden="false" customHeight="false" outlineLevel="0" collapsed="false">
      <c r="A29" s="7" t="str">
        <f aca="false">IF('1 Setup &amp; Keys'!$D$40="","",'1 Setup &amp; Keys'!$D$40)</f>
        <v/>
      </c>
      <c r="B29" s="19" t="str">
        <f aca="false">IF('1 Setup &amp; Keys'!$D$40="","",IFERROR((AVERAGEIFS('4 Import Leadership'!$H$5:$H$154,'4 Import Leadership'!$B$5:$B$154,'1 Setup &amp; Keys'!$D$40)-1)*25,""))</f>
        <v/>
      </c>
    </row>
    <row r="30" customFormat="false" ht="15" hidden="false" customHeight="false" outlineLevel="0" collapsed="false">
      <c r="A30" s="7" t="str">
        <f aca="false">IF('1 Setup &amp; Keys'!$D$41="","",'1 Setup &amp; Keys'!$D$41)</f>
        <v/>
      </c>
      <c r="B30" s="19" t="str">
        <f aca="false">IF('1 Setup &amp; Keys'!$D$41="","",IFERROR((AVERAGEIFS('4 Import Leadership'!$H$5:$H$154,'4 Import Leadership'!$B$5:$B$154,'1 Setup &amp; Keys'!$D$41)-1)*25,""))</f>
        <v/>
      </c>
    </row>
    <row r="31" customFormat="false" ht="15" hidden="false" customHeight="false" outlineLevel="0" collapsed="false">
      <c r="A31" s="7" t="str">
        <f aca="false">IF('1 Setup &amp; Keys'!$D$42="","",'1 Setup &amp; Keys'!$D$42)</f>
        <v/>
      </c>
      <c r="B31" s="19" t="str">
        <f aca="false">IF('1 Setup &amp; Keys'!$D$42="","",IFERROR((AVERAGEIFS('4 Import Leadership'!$H$5:$H$154,'4 Import Leadership'!$B$5:$B$154,'1 Setup &amp; Keys'!$D$42)-1)*25,""))</f>
        <v/>
      </c>
    </row>
    <row r="32" customFormat="false" ht="15" hidden="false" customHeight="false" outlineLevel="0" collapsed="false">
      <c r="A32" s="7" t="str">
        <f aca="false">IF('1 Setup &amp; Keys'!$D$43="","",'1 Setup &amp; Keys'!$D$43)</f>
        <v/>
      </c>
      <c r="B32" s="19" t="str">
        <f aca="false">IF('1 Setup &amp; Keys'!$D$43="","",IFERROR((AVERAGEIFS('4 Import Leadership'!$H$5:$H$154,'4 Import Leadership'!$B$5:$B$154,'1 Setup &amp; Keys'!$D$43)-1)*25,""))</f>
        <v/>
      </c>
    </row>
    <row r="34" customFormat="false" ht="15" hidden="false" customHeight="false" outlineLevel="0" collapsed="false">
      <c r="A34" s="11" t="s">
        <v>265</v>
      </c>
      <c r="B34" s="19" t="str">
        <f aca="false">IFERROR(AVERAGE(H6:H17),"")</f>
        <v/>
      </c>
    </row>
    <row r="35" customFormat="false" ht="15" hidden="false" customHeight="false" outlineLevel="0" collapsed="false">
      <c r="A35" s="11" t="s">
        <v>266</v>
      </c>
      <c r="B35" s="19" t="str">
        <f aca="false">IFERROR(AVERAGE(B21:B32),"")</f>
        <v/>
      </c>
    </row>
    <row r="36" customFormat="false" ht="15" hidden="false" customHeight="false" outlineLevel="0" collapsed="false">
      <c r="A36" s="14" t="s">
        <v>267</v>
      </c>
      <c r="B36" s="29" t="str">
        <f aca="false">IF('1 Setup &amp; Keys'!$B$22="","",IFERROR(SUM('4 Import Leadership'!$N$5:$N$154)/'1 Setup &amp; Keys'!$B$22,""))</f>
        <v/>
      </c>
    </row>
    <row r="37" customFormat="false" ht="15" hidden="false" customHeight="false" outlineLevel="0" collapsed="false">
      <c r="A37" s="6" t="str">
        <f aca="false">IF($B36="","",IF($B36&lt;Reference!$B$6,"LOW leadership response","ok"))</f>
        <v/>
      </c>
      <c r="B37" s="6"/>
      <c r="C37" s="6"/>
      <c r="D37" s="6"/>
    </row>
    <row r="38" customFormat="false" ht="15" hidden="false" customHeight="false" outlineLevel="0" collapsed="false">
      <c r="A38" s="11" t="s">
        <v>268</v>
      </c>
      <c r="B38" s="30" t="str">
        <f aca="false">IF(OR('9 Type C Scoring'!$B$34="",'9 Type C Scoring'!$B$35=""),"",0.6*('9 Type C Scoring'!$B$34*100)+0.4*'9 Type C Scoring'!$B$35)</f>
        <v/>
      </c>
    </row>
    <row r="40" customFormat="false" ht="15" hidden="false" customHeight="true" outlineLevel="0" collapsed="false">
      <c r="A40" s="10" t="s">
        <v>269</v>
      </c>
      <c r="B40" s="10"/>
      <c r="C40" s="10"/>
      <c r="D40" s="10"/>
      <c r="E40" s="10"/>
      <c r="F40" s="10"/>
      <c r="G40" s="10"/>
      <c r="H40" s="10"/>
    </row>
    <row r="41" customFormat="false" ht="15" hidden="false" customHeight="true" outlineLevel="0" collapsed="false">
      <c r="A41" s="9" t="s">
        <v>270</v>
      </c>
      <c r="B41" s="9"/>
      <c r="C41" s="9"/>
      <c r="D41" s="9"/>
      <c r="E41" s="9"/>
      <c r="F41" s="9"/>
      <c r="G41" s="9"/>
      <c r="H41" s="9"/>
    </row>
    <row r="42" customFormat="false" ht="15" hidden="false" customHeight="false" outlineLevel="0" collapsed="false">
      <c r="A42" s="15" t="s">
        <v>271</v>
      </c>
      <c r="B42" s="15" t="s">
        <v>272</v>
      </c>
      <c r="C42" s="15" t="s">
        <v>231</v>
      </c>
      <c r="D42" s="15" t="s">
        <v>232</v>
      </c>
    </row>
    <row r="43" customFormat="false" ht="15" hidden="false" customHeight="false" outlineLevel="0" collapsed="false">
      <c r="A43" s="14" t="s">
        <v>273</v>
      </c>
      <c r="B43" s="19" t="str">
        <f aca="false">IFERROR(((IF(IFERROR(AVERAGEIFS('2 Import Main'!BV5:BV204,'7 Screening'!$I$5:$I$204,1),"")="",0,IFERROR(AVERAGEIFS('2 Import Main'!BV5:BV204,'7 Screening'!$I$5:$I$204,1),""))+IF(IFERROR(AVERAGEIFS('2 Import Main'!BW5:BW204,'7 Screening'!$I$5:$I$204,1),"")="",0,IFERROR(AVERAGEIFS('2 Import Main'!BW5:BW204,'7 Screening'!$I$5:$I$204,1),""))+IF(IFERROR(AVERAGEIFS('2 Import Main'!BX5:BX204,'7 Screening'!$I$5:$I$204,1),"")="",0,IFERROR(AVERAGEIFS('2 Import Main'!BX5:BX204,'7 Screening'!$I$5:$I$204,1),""))+IF(IFERROR(AVERAGEIFS('2 Import Main'!BY5:BY204,'7 Screening'!$I$5:$I$204,1),"")="",0,IFERROR(AVERAGEIFS('2 Import Main'!BY5:BY204,'7 Screening'!$I$5:$I$204,1),""))+IF(IFERROR(AVERAGEIFS('2 Import Main'!BZ5:BZ204,'7 Screening'!$I$5:$I$204,1),"")="",0,(6-IFERROR(AVERAGEIFS('2 Import Main'!BZ5:BZ204,'7 Screening'!$I$5:$I$204,1),""))))/(IF(IFERROR(AVERAGEIFS('2 Import Main'!BV5:BV204,'7 Screening'!$I$5:$I$204,1),"")="",0,1)+IF(IFERROR(AVERAGEIFS('2 Import Main'!BW5:BW204,'7 Screening'!$I$5:$I$204,1),"")="",0,1)+IF(IFERROR(AVERAGEIFS('2 Import Main'!BX5:BX204,'7 Screening'!$I$5:$I$204,1),"")="",0,1)+IF(IFERROR(AVERAGEIFS('2 Import Main'!BY5:BY204,'7 Screening'!$I$5:$I$204,1),"")="",0,1)+IF(IFERROR(AVERAGEIFS('2 Import Main'!BZ5:BZ204,'7 Screening'!$I$5:$I$204,1),"")="",0,1))-1)*25,"")</f>
        <v/>
      </c>
      <c r="C43" s="29" t="str">
        <f aca="false">IF('1 Setup &amp; Keys'!$B$20="","",IFERROR(COUNTIFS('7 Screening'!$I$5:$I$204,1,'2 Import Main'!BV5:BV204,"&lt;&gt;")/'1 Setup &amp; Keys'!$B$20,""))</f>
        <v/>
      </c>
      <c r="D43" s="6" t="str">
        <f aca="false">IF(C43="","",IF(C43&lt;Reference!$B$5,"LOW",""))</f>
        <v/>
      </c>
    </row>
    <row r="44" customFormat="false" ht="15" hidden="false" customHeight="false" outlineLevel="0" collapsed="false">
      <c r="A44" s="14" t="s">
        <v>274</v>
      </c>
      <c r="B44" s="19" t="str">
        <f aca="false">IFERROR(((IF(IFERROR(AVERAGEIFS('2 Import Main'!CA5:CA204,'7 Screening'!$I$5:$I$204,1),"")="",0,IFERROR(AVERAGEIFS('2 Import Main'!CA5:CA204,'7 Screening'!$I$5:$I$204,1),""))+IF(IFERROR(AVERAGEIFS('2 Import Main'!CB5:CB204,'7 Screening'!$I$5:$I$204,1),"")="",0,IFERROR(AVERAGEIFS('2 Import Main'!CB5:CB204,'7 Screening'!$I$5:$I$204,1),""))+IF(IFERROR(AVERAGEIFS('2 Import Main'!CC5:CC204,'7 Screening'!$I$5:$I$204,1),"")="",0,(6-IFERROR(AVERAGEIFS('2 Import Main'!CC5:CC204,'7 Screening'!$I$5:$I$204,1),"")))+IF(IFERROR(AVERAGEIFS('2 Import Main'!CD5:CD204,'7 Screening'!$I$5:$I$204,1),"")="",0,(6-IFERROR(AVERAGEIFS('2 Import Main'!CD5:CD204,'7 Screening'!$I$5:$I$204,1),"")))+IF(IFERROR(AVERAGEIFS('2 Import Main'!CE5:CE204,'7 Screening'!$I$5:$I$204,1),"")="",0,IFERROR(AVERAGEIFS('2 Import Main'!CE5:CE204,'7 Screening'!$I$5:$I$204,1),""))+IF(IFERROR(AVERAGEIFS('2 Import Main'!CF5:CF204,'7 Screening'!$I$5:$I$204,1),"")="",0,(6-IFERROR(AVERAGEIFS('2 Import Main'!CF5:CF204,'7 Screening'!$I$5:$I$204,1),""))))/(IF(IFERROR(AVERAGEIFS('2 Import Main'!CA5:CA204,'7 Screening'!$I$5:$I$204,1),"")="",0,1)+IF(IFERROR(AVERAGEIFS('2 Import Main'!CB5:CB204,'7 Screening'!$I$5:$I$204,1),"")="",0,1)+IF(IFERROR(AVERAGEIFS('2 Import Main'!CC5:CC204,'7 Screening'!$I$5:$I$204,1),"")="",0,1)+IF(IFERROR(AVERAGEIFS('2 Import Main'!CD5:CD204,'7 Screening'!$I$5:$I$204,1),"")="",0,1)+IF(IFERROR(AVERAGEIFS('2 Import Main'!CE5:CE204,'7 Screening'!$I$5:$I$204,1),"")="",0,1)+IF(IFERROR(AVERAGEIFS('2 Import Main'!CF5:CF204,'7 Screening'!$I$5:$I$204,1),"")="",0,1))-1)*25,"")</f>
        <v/>
      </c>
      <c r="C44" s="29" t="str">
        <f aca="false">IF('1 Setup &amp; Keys'!$B$20="","",IFERROR(COUNTIFS('7 Screening'!$I$5:$I$204,1,'2 Import Main'!CA5:CA204,"&lt;&gt;")/'1 Setup &amp; Keys'!$B$20,""))</f>
        <v/>
      </c>
      <c r="D44" s="6" t="str">
        <f aca="false">IF(C44="","",IF(C44&lt;Reference!$B$5,"LOW",""))</f>
        <v/>
      </c>
    </row>
    <row r="45" customFormat="false" ht="15" hidden="false" customHeight="false" outlineLevel="0" collapsed="false">
      <c r="A45" s="14" t="s">
        <v>275</v>
      </c>
      <c r="B45" s="19" t="str">
        <f aca="false">IF((IF(IFERROR(AVERAGEIFS('2 Import Main'!CH5:CH204,'7 Screening'!$I$5:$I$204,1),"")="",0,1)+IF(IFERROR(AVERAGEIFS('2 Import Main'!CI5:CI204,'7 Screening'!$I$5:$I$204,1),"")="",0,1)+IF(IFERROR(AVERAGEIFS('2 Import Main'!CJ5:CJ204,'7 Screening'!$I$5:$I$204,1),"")="",0,1)+IF(IFERROR(AVERAGEIFS('2 Import Main'!CK5:CK204,'7 Screening'!$I$5:$I$204,1),"")="",0,1)+IF(IFERROR(AVERAGEIFS('2 Import Main'!CL5:CL204,'7 Screening'!$I$5:$I$204,1),"")="",0,1)+IF(IFERROR(AVERAGEIFS('2 Import Main'!CM5:CM204,'7 Screening'!$I$5:$I$204,1),"")="",0,1))=0,"",(((IF(IFERROR(AVERAGEIFS('2 Import Main'!CH5:CH204,'7 Screening'!$I$5:$I$204,1),"")="",0,IFERROR(AVERAGEIFS('2 Import Main'!CH5:CH204,'7 Screening'!$I$5:$I$204,1),""))+IF(IFERROR(AVERAGEIFS('2 Import Main'!CI5:CI204,'7 Screening'!$I$5:$I$204,1),"")="",0,IFERROR(AVERAGEIFS('2 Import Main'!CI5:CI204,'7 Screening'!$I$5:$I$204,1),""))+IF(IFERROR(AVERAGEIFS('2 Import Main'!CJ5:CJ204,'7 Screening'!$I$5:$I$204,1),"")="",0,IFERROR(AVERAGEIFS('2 Import Main'!CJ5:CJ204,'7 Screening'!$I$5:$I$204,1),""))+IF(IFERROR(AVERAGEIFS('2 Import Main'!CK5:CK204,'7 Screening'!$I$5:$I$204,1),"")="",0,(6-IFERROR(AVERAGEIFS('2 Import Main'!CK5:CK204,'7 Screening'!$I$5:$I$204,1),"")))+IF(IFERROR(AVERAGEIFS('2 Import Main'!CL5:CL204,'7 Screening'!$I$5:$I$204,1),"")="",0,IFERROR(AVERAGEIFS('2 Import Main'!CL5:CL204,'7 Screening'!$I$5:$I$204,1),""))+IF(IFERROR(AVERAGEIFS('2 Import Main'!CM5:CM204,'7 Screening'!$I$5:$I$204,1),"")="",0,IFERROR(AVERAGEIFS('2 Import Main'!CM5:CM204,'7 Screening'!$I$5:$I$204,1),"")))/(IF(IFERROR(AVERAGEIFS('2 Import Main'!CH5:CH204,'7 Screening'!$I$5:$I$204,1),"")="",0,1)+IF(IFERROR(AVERAGEIFS('2 Import Main'!CI5:CI204,'7 Screening'!$I$5:$I$204,1),"")="",0,1)+IF(IFERROR(AVERAGEIFS('2 Import Main'!CJ5:CJ204,'7 Screening'!$I$5:$I$204,1),"")="",0,1)+IF(IFERROR(AVERAGEIFS('2 Import Main'!CK5:CK204,'7 Screening'!$I$5:$I$204,1),"")="",0,1)+IF(IFERROR(AVERAGEIFS('2 Import Main'!CL5:CL204,'7 Screening'!$I$5:$I$204,1),"")="",0,1)+IF(IFERROR(AVERAGEIFS('2 Import Main'!CM5:CM204,'7 Screening'!$I$5:$I$204,1),"")="",0,1)))-1)*25)</f>
        <v/>
      </c>
    </row>
    <row r="46" customFormat="false" ht="15" hidden="false" customHeight="false" outlineLevel="0" collapsed="false">
      <c r="A46" s="14" t="s">
        <v>276</v>
      </c>
      <c r="B46" s="19" t="str">
        <f aca="false">IF((IF(IFERROR(AVERAGEIFS('2 Import Main'!CO5:CO204,'7 Screening'!$I$5:$I$204,1),"")="",0,1)+IF(IFERROR(AVERAGEIFS('2 Import Main'!CP5:CP204,'7 Screening'!$I$5:$I$204,1),"")="",0,1)+IF(IFERROR(AVERAGEIFS('2 Import Main'!CQ5:CQ204,'7 Screening'!$I$5:$I$204,1),"")="",0,1)+IF(IFERROR(AVERAGEIFS('2 Import Main'!CR5:CR204,'7 Screening'!$I$5:$I$204,1),"")="",0,1)+IF(IFERROR(AVERAGEIFS('2 Import Main'!CS5:CS204,'7 Screening'!$I$5:$I$204,1),"")="",0,1)+IF(IFERROR(AVERAGEIFS('2 Import Main'!CT5:CT204,'7 Screening'!$I$5:$I$204,1),"")="",0,1))=0,"",(((IF(IFERROR(AVERAGEIFS('2 Import Main'!CO5:CO204,'7 Screening'!$I$5:$I$204,1),"")="",0,IFERROR(AVERAGEIFS('2 Import Main'!CO5:CO204,'7 Screening'!$I$5:$I$204,1),""))+IF(IFERROR(AVERAGEIFS('2 Import Main'!CP5:CP204,'7 Screening'!$I$5:$I$204,1),"")="",0,IFERROR(AVERAGEIFS('2 Import Main'!CP5:CP204,'7 Screening'!$I$5:$I$204,1),""))+IF(IFERROR(AVERAGEIFS('2 Import Main'!CQ5:CQ204,'7 Screening'!$I$5:$I$204,1),"")="",0,IFERROR(AVERAGEIFS('2 Import Main'!CQ5:CQ204,'7 Screening'!$I$5:$I$204,1),""))+IF(IFERROR(AVERAGEIFS('2 Import Main'!CR5:CR204,'7 Screening'!$I$5:$I$204,1),"")="",0,(6-IFERROR(AVERAGEIFS('2 Import Main'!CR5:CR204,'7 Screening'!$I$5:$I$204,1),"")))+IF(IFERROR(AVERAGEIFS('2 Import Main'!CS5:CS204,'7 Screening'!$I$5:$I$204,1),"")="",0,IFERROR(AVERAGEIFS('2 Import Main'!CS5:CS204,'7 Screening'!$I$5:$I$204,1),""))+IF(IFERROR(AVERAGEIFS('2 Import Main'!CT5:CT204,'7 Screening'!$I$5:$I$204,1),"")="",0,IFERROR(AVERAGEIFS('2 Import Main'!CT5:CT204,'7 Screening'!$I$5:$I$204,1),"")))/(IF(IFERROR(AVERAGEIFS('2 Import Main'!CO5:CO204,'7 Screening'!$I$5:$I$204,1),"")="",0,1)+IF(IFERROR(AVERAGEIFS('2 Import Main'!CP5:CP204,'7 Screening'!$I$5:$I$204,1),"")="",0,1)+IF(IFERROR(AVERAGEIFS('2 Import Main'!CQ5:CQ204,'7 Screening'!$I$5:$I$204,1),"")="",0,1)+IF(IFERROR(AVERAGEIFS('2 Import Main'!CR5:CR204,'7 Screening'!$I$5:$I$204,1),"")="",0,1)+IF(IFERROR(AVERAGEIFS('2 Import Main'!CS5:CS204,'7 Screening'!$I$5:$I$204,1),"")="",0,1)+IF(IFERROR(AVERAGEIFS('2 Import Main'!CT5:CT204,'7 Screening'!$I$5:$I$204,1),"")="",0,1)))-1)*25)</f>
        <v/>
      </c>
    </row>
    <row r="47" customFormat="false" ht="15" hidden="false" customHeight="false" outlineLevel="0" collapsed="false">
      <c r="A47" s="14" t="s">
        <v>277</v>
      </c>
      <c r="B47" s="19" t="str">
        <f aca="false">IF((IF(IFERROR(AVERAGEIFS('2 Import Main'!CV5:CV204,'7 Screening'!$I$5:$I$204,1),"")="",0,1)+IF(IFERROR(AVERAGEIFS('2 Import Main'!CW5:CW204,'7 Screening'!$I$5:$I$204,1),"")="",0,1)+IF(IFERROR(AVERAGEIFS('2 Import Main'!CX5:CX204,'7 Screening'!$I$5:$I$204,1),"")="",0,1)+IF(IFERROR(AVERAGEIFS('2 Import Main'!CY5:CY204,'7 Screening'!$I$5:$I$204,1),"")="",0,1)+IF(IFERROR(AVERAGEIFS('2 Import Main'!CZ5:CZ204,'7 Screening'!$I$5:$I$204,1),"")="",0,1)+IF(IFERROR(AVERAGEIFS('2 Import Main'!DA5:DA204,'7 Screening'!$I$5:$I$204,1),"")="",0,1))=0,"",(((IF(IFERROR(AVERAGEIFS('2 Import Main'!CV5:CV204,'7 Screening'!$I$5:$I$204,1),"")="",0,IFERROR(AVERAGEIFS('2 Import Main'!CV5:CV204,'7 Screening'!$I$5:$I$204,1),""))+IF(IFERROR(AVERAGEIFS('2 Import Main'!CW5:CW204,'7 Screening'!$I$5:$I$204,1),"")="",0,IFERROR(AVERAGEIFS('2 Import Main'!CW5:CW204,'7 Screening'!$I$5:$I$204,1),""))+IF(IFERROR(AVERAGEIFS('2 Import Main'!CX5:CX204,'7 Screening'!$I$5:$I$204,1),"")="",0,IFERROR(AVERAGEIFS('2 Import Main'!CX5:CX204,'7 Screening'!$I$5:$I$204,1),""))+IF(IFERROR(AVERAGEIFS('2 Import Main'!CY5:CY204,'7 Screening'!$I$5:$I$204,1),"")="",0,(6-IFERROR(AVERAGEIFS('2 Import Main'!CY5:CY204,'7 Screening'!$I$5:$I$204,1),"")))+IF(IFERROR(AVERAGEIFS('2 Import Main'!CZ5:CZ204,'7 Screening'!$I$5:$I$204,1),"")="",0,IFERROR(AVERAGEIFS('2 Import Main'!CZ5:CZ204,'7 Screening'!$I$5:$I$204,1),""))+IF(IFERROR(AVERAGEIFS('2 Import Main'!DA5:DA204,'7 Screening'!$I$5:$I$204,1),"")="",0,IFERROR(AVERAGEIFS('2 Import Main'!DA5:DA204,'7 Screening'!$I$5:$I$204,1),"")))/(IF(IFERROR(AVERAGEIFS('2 Import Main'!CV5:CV204,'7 Screening'!$I$5:$I$204,1),"")="",0,1)+IF(IFERROR(AVERAGEIFS('2 Import Main'!CW5:CW204,'7 Screening'!$I$5:$I$204,1),"")="",0,1)+IF(IFERROR(AVERAGEIFS('2 Import Main'!CX5:CX204,'7 Screening'!$I$5:$I$204,1),"")="",0,1)+IF(IFERROR(AVERAGEIFS('2 Import Main'!CY5:CY204,'7 Screening'!$I$5:$I$204,1),"")="",0,1)+IF(IFERROR(AVERAGEIFS('2 Import Main'!CZ5:CZ204,'7 Screening'!$I$5:$I$204,1),"")="",0,1)+IF(IFERROR(AVERAGEIFS('2 Import Main'!DA5:DA204,'7 Screening'!$I$5:$I$204,1),"")="",0,1)))-1)*25)</f>
        <v/>
      </c>
    </row>
    <row r="48" customFormat="false" ht="23.85" hidden="false" customHeight="false" outlineLevel="0" collapsed="false">
      <c r="A48" s="11" t="s">
        <v>278</v>
      </c>
      <c r="B48" s="30" t="str">
        <f aca="false">IFERROR(AVERAGE(B45,B46,B47),"")</f>
        <v/>
      </c>
    </row>
    <row r="50" customFormat="false" ht="15" hidden="false" customHeight="true" outlineLevel="0" collapsed="false">
      <c r="A50" s="10" t="s">
        <v>279</v>
      </c>
      <c r="B50" s="10"/>
      <c r="C50" s="10"/>
      <c r="D50" s="10"/>
      <c r="E50" s="10"/>
      <c r="F50" s="10"/>
      <c r="G50" s="10"/>
      <c r="H50" s="10"/>
    </row>
    <row r="51" customFormat="false" ht="15" hidden="false" customHeight="false" outlineLevel="0" collapsed="false">
      <c r="A51" s="15" t="s">
        <v>37</v>
      </c>
      <c r="B51" s="15" t="s">
        <v>280</v>
      </c>
      <c r="C51" s="15" t="s">
        <v>272</v>
      </c>
      <c r="D51" s="15" t="s">
        <v>33</v>
      </c>
    </row>
    <row r="52" customFormat="false" ht="15" hidden="false" customHeight="false" outlineLevel="0" collapsed="false">
      <c r="A52" s="7" t="str">
        <f aca="false">IF('1 Setup &amp; Keys'!$K$32="","",'1 Setup &amp; Keys'!$K$32)</f>
        <v/>
      </c>
      <c r="B52" s="19" t="str">
        <f aca="false">IF('1 Setup &amp; Keys'!$K$32="","",IFERROR(AVERAGEIFS('3 Import Manager'!$T$5:$T$154,'3 Import Manager'!$B$5:$B$154,'1 Setup &amp; Keys'!$K$32),""))</f>
        <v/>
      </c>
      <c r="C52" s="19" t="str">
        <f aca="false">IF(B52="","",B52*100)</f>
        <v/>
      </c>
      <c r="D52" s="20" t="str">
        <f aca="false">IF('1 Setup &amp; Keys'!$K$32="","",'1 Setup &amp; Keys'!$L$32)</f>
        <v/>
      </c>
    </row>
    <row r="53" customFormat="false" ht="15" hidden="false" customHeight="false" outlineLevel="0" collapsed="false">
      <c r="A53" s="7" t="str">
        <f aca="false">IF('1 Setup &amp; Keys'!$K$33="","",'1 Setup &amp; Keys'!$K$33)</f>
        <v/>
      </c>
      <c r="B53" s="19" t="str">
        <f aca="false">IF('1 Setup &amp; Keys'!$K$33="","",IFERROR(AVERAGEIFS('3 Import Manager'!$T$5:$T$154,'3 Import Manager'!$B$5:$B$154,'1 Setup &amp; Keys'!$K$33),""))</f>
        <v/>
      </c>
      <c r="C53" s="19" t="str">
        <f aca="false">IF(B53="","",B53*100)</f>
        <v/>
      </c>
      <c r="D53" s="20" t="str">
        <f aca="false">IF('1 Setup &amp; Keys'!$K$33="","",'1 Setup &amp; Keys'!$L$33)</f>
        <v/>
      </c>
    </row>
    <row r="54" customFormat="false" ht="15" hidden="false" customHeight="false" outlineLevel="0" collapsed="false">
      <c r="A54" s="7" t="str">
        <f aca="false">IF('1 Setup &amp; Keys'!$K$34="","",'1 Setup &amp; Keys'!$K$34)</f>
        <v/>
      </c>
      <c r="B54" s="19" t="str">
        <f aca="false">IF('1 Setup &amp; Keys'!$K$34="","",IFERROR(AVERAGEIFS('3 Import Manager'!$T$5:$T$154,'3 Import Manager'!$B$5:$B$154,'1 Setup &amp; Keys'!$K$34),""))</f>
        <v/>
      </c>
      <c r="C54" s="19" t="str">
        <f aca="false">IF(B54="","",B54*100)</f>
        <v/>
      </c>
      <c r="D54" s="20" t="str">
        <f aca="false">IF('1 Setup &amp; Keys'!$K$34="","",'1 Setup &amp; Keys'!$L$34)</f>
        <v/>
      </c>
    </row>
    <row r="55" customFormat="false" ht="15" hidden="false" customHeight="false" outlineLevel="0" collapsed="false">
      <c r="A55" s="7" t="str">
        <f aca="false">IF('1 Setup &amp; Keys'!$K$35="","",'1 Setup &amp; Keys'!$K$35)</f>
        <v/>
      </c>
      <c r="B55" s="19" t="str">
        <f aca="false">IF('1 Setup &amp; Keys'!$K$35="","",IFERROR(AVERAGEIFS('3 Import Manager'!$T$5:$T$154,'3 Import Manager'!$B$5:$B$154,'1 Setup &amp; Keys'!$K$35),""))</f>
        <v/>
      </c>
      <c r="C55" s="19" t="str">
        <f aca="false">IF(B55="","",B55*100)</f>
        <v/>
      </c>
      <c r="D55" s="20" t="str">
        <f aca="false">IF('1 Setup &amp; Keys'!$K$35="","",'1 Setup &amp; Keys'!$L$35)</f>
        <v/>
      </c>
    </row>
    <row r="56" customFormat="false" ht="15" hidden="false" customHeight="false" outlineLevel="0" collapsed="false">
      <c r="A56" s="7" t="str">
        <f aca="false">IF('1 Setup &amp; Keys'!$K$36="","",'1 Setup &amp; Keys'!$K$36)</f>
        <v/>
      </c>
      <c r="B56" s="19" t="str">
        <f aca="false">IF('1 Setup &amp; Keys'!$K$36="","",IFERROR(AVERAGEIFS('3 Import Manager'!$T$5:$T$154,'3 Import Manager'!$B$5:$B$154,'1 Setup &amp; Keys'!$K$36),""))</f>
        <v/>
      </c>
      <c r="C56" s="19" t="str">
        <f aca="false">IF(B56="","",B56*100)</f>
        <v/>
      </c>
      <c r="D56" s="20" t="str">
        <f aca="false">IF('1 Setup &amp; Keys'!$K$36="","",'1 Setup &amp; Keys'!$L$36)</f>
        <v/>
      </c>
    </row>
    <row r="57" customFormat="false" ht="15" hidden="false" customHeight="false" outlineLevel="0" collapsed="false">
      <c r="A57" s="7" t="str">
        <f aca="false">IF('1 Setup &amp; Keys'!$K$37="","",'1 Setup &amp; Keys'!$K$37)</f>
        <v/>
      </c>
      <c r="B57" s="19" t="str">
        <f aca="false">IF('1 Setup &amp; Keys'!$K$37="","",IFERROR(AVERAGEIFS('3 Import Manager'!$T$5:$T$154,'3 Import Manager'!$B$5:$B$154,'1 Setup &amp; Keys'!$K$37),""))</f>
        <v/>
      </c>
      <c r="C57" s="19" t="str">
        <f aca="false">IF(B57="","",B57*100)</f>
        <v/>
      </c>
      <c r="D57" s="20" t="str">
        <f aca="false">IF('1 Setup &amp; Keys'!$K$37="","",'1 Setup &amp; Keys'!$L$37)</f>
        <v/>
      </c>
    </row>
    <row r="58" customFormat="false" ht="15" hidden="false" customHeight="false" outlineLevel="0" collapsed="false">
      <c r="A58" s="7" t="str">
        <f aca="false">IF('1 Setup &amp; Keys'!$K$38="","",'1 Setup &amp; Keys'!$K$38)</f>
        <v/>
      </c>
      <c r="B58" s="19" t="str">
        <f aca="false">IF('1 Setup &amp; Keys'!$K$38="","",IFERROR(AVERAGEIFS('3 Import Manager'!$T$5:$T$154,'3 Import Manager'!$B$5:$B$154,'1 Setup &amp; Keys'!$K$38),""))</f>
        <v/>
      </c>
      <c r="C58" s="19" t="str">
        <f aca="false">IF(B58="","",B58*100)</f>
        <v/>
      </c>
      <c r="D58" s="20" t="str">
        <f aca="false">IF('1 Setup &amp; Keys'!$K$38="","",'1 Setup &amp; Keys'!$L$38)</f>
        <v/>
      </c>
    </row>
    <row r="59" customFormat="false" ht="15" hidden="false" customHeight="false" outlineLevel="0" collapsed="false">
      <c r="A59" s="7" t="str">
        <f aca="false">IF('1 Setup &amp; Keys'!$K$39="","",'1 Setup &amp; Keys'!$K$39)</f>
        <v/>
      </c>
      <c r="B59" s="19" t="str">
        <f aca="false">IF('1 Setup &amp; Keys'!$K$39="","",IFERROR(AVERAGEIFS('3 Import Manager'!$T$5:$T$154,'3 Import Manager'!$B$5:$B$154,'1 Setup &amp; Keys'!$K$39),""))</f>
        <v/>
      </c>
      <c r="C59" s="19" t="str">
        <f aca="false">IF(B59="","",B59*100)</f>
        <v/>
      </c>
      <c r="D59" s="20" t="str">
        <f aca="false">IF('1 Setup &amp; Keys'!$K$39="","",'1 Setup &amp; Keys'!$L$39)</f>
        <v/>
      </c>
    </row>
    <row r="60" customFormat="false" ht="15" hidden="false" customHeight="false" outlineLevel="0" collapsed="false">
      <c r="A60" s="7" t="str">
        <f aca="false">IF('1 Setup &amp; Keys'!$K$40="","",'1 Setup &amp; Keys'!$K$40)</f>
        <v/>
      </c>
      <c r="B60" s="19" t="str">
        <f aca="false">IF('1 Setup &amp; Keys'!$K$40="","",IFERROR(AVERAGEIFS('3 Import Manager'!$T$5:$T$154,'3 Import Manager'!$B$5:$B$154,'1 Setup &amp; Keys'!$K$40),""))</f>
        <v/>
      </c>
      <c r="C60" s="19" t="str">
        <f aca="false">IF(B60="","",B60*100)</f>
        <v/>
      </c>
      <c r="D60" s="20" t="str">
        <f aca="false">IF('1 Setup &amp; Keys'!$K$40="","",'1 Setup &amp; Keys'!$L$40)</f>
        <v/>
      </c>
    </row>
    <row r="61" customFormat="false" ht="15" hidden="false" customHeight="false" outlineLevel="0" collapsed="false">
      <c r="A61" s="7" t="str">
        <f aca="false">IF('1 Setup &amp; Keys'!$K$41="","",'1 Setup &amp; Keys'!$K$41)</f>
        <v/>
      </c>
      <c r="B61" s="19" t="str">
        <f aca="false">IF('1 Setup &amp; Keys'!$K$41="","",IFERROR(AVERAGEIFS('3 Import Manager'!$T$5:$T$154,'3 Import Manager'!$B$5:$B$154,'1 Setup &amp; Keys'!$K$41),""))</f>
        <v/>
      </c>
      <c r="C61" s="19" t="str">
        <f aca="false">IF(B61="","",B61*100)</f>
        <v/>
      </c>
      <c r="D61" s="20" t="str">
        <f aca="false">IF('1 Setup &amp; Keys'!$K$41="","",'1 Setup &amp; Keys'!$L$41)</f>
        <v/>
      </c>
    </row>
    <row r="62" customFormat="false" ht="23.85" hidden="false" customHeight="false" outlineLevel="0" collapsed="false">
      <c r="A62" s="11" t="s">
        <v>281</v>
      </c>
      <c r="B62" s="31" t="n">
        <v>0</v>
      </c>
    </row>
    <row r="63" customFormat="false" ht="15" hidden="false" customHeight="false" outlineLevel="0" collapsed="false">
      <c r="A63" s="14" t="s">
        <v>282</v>
      </c>
      <c r="B63" s="29" t="str">
        <f aca="false">IF('1 Setup &amp; Keys'!$B$21="","",IFERROR(SUM('3 Import Manager'!$U$5:$U$154)/'1 Setup &amp; Keys'!$B$21,""))</f>
        <v/>
      </c>
    </row>
    <row r="64" customFormat="false" ht="15" hidden="false" customHeight="false" outlineLevel="0" collapsed="false">
      <c r="A64" s="6" t="str">
        <f aca="false">IF($B63="","",IF($B63&lt;Reference!$B$7,"LOW manager response","ok"))</f>
        <v/>
      </c>
      <c r="B64" s="6"/>
      <c r="C64" s="6"/>
      <c r="D64" s="6"/>
    </row>
    <row r="65" customFormat="false" ht="15" hidden="false" customHeight="false" outlineLevel="0" collapsed="false">
      <c r="A65" s="11" t="s">
        <v>283</v>
      </c>
      <c r="B65" s="30" t="str">
        <f aca="false">IFERROR(SUMPRODUCT(C52:C61,D52:D61)/SUM(D52:D61)+'9 Type C Scoring'!$B$62,"")</f>
        <v/>
      </c>
    </row>
    <row r="67" customFormat="false" ht="15" hidden="false" customHeight="true" outlineLevel="0" collapsed="false">
      <c r="A67" s="10" t="s">
        <v>284</v>
      </c>
      <c r="B67" s="10"/>
      <c r="C67" s="10"/>
      <c r="D67" s="10"/>
      <c r="E67" s="10"/>
      <c r="F67" s="10"/>
      <c r="G67" s="10"/>
      <c r="H67" s="10"/>
    </row>
    <row r="68" customFormat="false" ht="15" hidden="false" customHeight="false" outlineLevel="0" collapsed="false">
      <c r="A68" s="15" t="s">
        <v>285</v>
      </c>
      <c r="B68" s="15" t="s">
        <v>286</v>
      </c>
      <c r="C68" s="15" t="s">
        <v>287</v>
      </c>
      <c r="D68" s="15" t="s">
        <v>288</v>
      </c>
      <c r="E68" s="15" t="s">
        <v>289</v>
      </c>
      <c r="F68" s="15" t="s">
        <v>290</v>
      </c>
    </row>
    <row r="69" customFormat="false" ht="15" hidden="false" customHeight="false" outlineLevel="0" collapsed="false">
      <c r="A69" s="14" t="s">
        <v>291</v>
      </c>
      <c r="B69" s="20" t="n">
        <f aca="false">COUNTIF('3 Import Manager'!$S$5:$S$154,1)</f>
        <v>0</v>
      </c>
      <c r="C69" s="19" t="n">
        <f aca="false">IF(B74=0,0,B69)</f>
        <v>0</v>
      </c>
      <c r="D69" s="19" t="n">
        <f aca="false">IF(B74=0,0,IF((IF(B74=0,0,SUMPRODUCT({1;2;3;4;5},C69:C73)/B74))&gt;Reference!$B$17,C69+Reference!$B$18*C70,C69))</f>
        <v>0</v>
      </c>
      <c r="E69" s="31"/>
      <c r="F69" s="30" t="n">
        <f aca="false">IF(E69&lt;&gt;"",E69,D69)</f>
        <v>0</v>
      </c>
    </row>
    <row r="70" customFormat="false" ht="15" hidden="false" customHeight="false" outlineLevel="0" collapsed="false">
      <c r="A70" s="14" t="s">
        <v>292</v>
      </c>
      <c r="B70" s="20" t="n">
        <f aca="false">COUNTIF('3 Import Manager'!$S$5:$S$154,2)</f>
        <v>0</v>
      </c>
      <c r="C70" s="19" t="n">
        <f aca="false">IF(B74=0,0,B70)</f>
        <v>0</v>
      </c>
      <c r="D70" s="19" t="n">
        <f aca="false">IF(B74=0,0,IF((IF(B74=0,0,SUMPRODUCT({1;2;3;4;5},C69:C73)/B74))&gt;Reference!$B$17,(1-Reference!$B$18)*C70+Reference!$B$18*C71,C70))</f>
        <v>0</v>
      </c>
      <c r="E70" s="31"/>
      <c r="F70" s="30" t="n">
        <f aca="false">IF(E70&lt;&gt;"",E70,D70)</f>
        <v>0</v>
      </c>
    </row>
    <row r="71" customFormat="false" ht="15" hidden="false" customHeight="false" outlineLevel="0" collapsed="false">
      <c r="A71" s="14" t="s">
        <v>293</v>
      </c>
      <c r="B71" s="20" t="n">
        <f aca="false">COUNTIF('3 Import Manager'!$S$5:$S$154,3)</f>
        <v>0</v>
      </c>
      <c r="C71" s="19" t="n">
        <f aca="false">IF(B74=0,0,B71)</f>
        <v>0</v>
      </c>
      <c r="D71" s="19" t="n">
        <f aca="false">IF(B74=0,0,IF((IF(B74=0,0,SUMPRODUCT({1;2;3;4;5},C69:C73)/B74))&gt;Reference!$B$17,(1-Reference!$B$18)*C71+Reference!$B$18*C72,C71))</f>
        <v>0</v>
      </c>
      <c r="E71" s="31"/>
      <c r="F71" s="30" t="n">
        <f aca="false">IF(E71&lt;&gt;"",E71,D71)</f>
        <v>0</v>
      </c>
    </row>
    <row r="72" customFormat="false" ht="15" hidden="false" customHeight="false" outlineLevel="0" collapsed="false">
      <c r="A72" s="14" t="s">
        <v>294</v>
      </c>
      <c r="B72" s="20" t="n">
        <f aca="false">COUNTIF('3 Import Manager'!$S$5:$S$154,4)</f>
        <v>0</v>
      </c>
      <c r="C72" s="19" t="n">
        <f aca="false">IF(B74=0,0,B72+MAX(0,B73-Reference!$B$16*B74))</f>
        <v>0</v>
      </c>
      <c r="D72" s="19" t="n">
        <f aca="false">IF(B74=0,0,IF((IF(B74=0,0,SUMPRODUCT({1;2;3;4;5},C69:C73)/B74))&gt;Reference!$B$17,(1-Reference!$B$18)*C72+Reference!$B$18*C73,C72))</f>
        <v>0</v>
      </c>
      <c r="E72" s="31"/>
      <c r="F72" s="30" t="n">
        <f aca="false">IF(E72&lt;&gt;"",E72,D72)</f>
        <v>0</v>
      </c>
    </row>
    <row r="73" customFormat="false" ht="15" hidden="false" customHeight="false" outlineLevel="0" collapsed="false">
      <c r="A73" s="14" t="s">
        <v>295</v>
      </c>
      <c r="B73" s="20" t="n">
        <f aca="false">COUNTIF('3 Import Manager'!$S$5:$S$154,5)</f>
        <v>0</v>
      </c>
      <c r="C73" s="19" t="n">
        <f aca="false">IF(B74=0,0,MIN(B73,Reference!$B$16*B74))</f>
        <v>0</v>
      </c>
      <c r="D73" s="19" t="n">
        <f aca="false">IF(B74=0,0,IF((IF(B74=0,0,SUMPRODUCT({1;2;3;4;5},C69:C73)/B74))&gt;Reference!$B$17,(1-Reference!$B$18)*C73,C73))</f>
        <v>0</v>
      </c>
      <c r="E73" s="31"/>
      <c r="F73" s="30" t="n">
        <f aca="false">IF(E73&lt;&gt;"",E73,D73)</f>
        <v>0</v>
      </c>
    </row>
    <row r="74" customFormat="false" ht="15" hidden="false" customHeight="false" outlineLevel="0" collapsed="false">
      <c r="A74" s="11" t="s">
        <v>296</v>
      </c>
      <c r="B74" s="20" t="n">
        <f aca="false">SUM(B69:B73)</f>
        <v>0</v>
      </c>
    </row>
    <row r="75" customFormat="false" ht="15" hidden="false" customHeight="false" outlineLevel="0" collapsed="false">
      <c r="A75" s="14" t="s">
        <v>297</v>
      </c>
      <c r="B75" s="19" t="str">
        <f aca="false">IF(B74=0,"",SUMPRODUCT({1;2;3;4;5},B69:B73)/B74)</f>
        <v/>
      </c>
    </row>
    <row r="76" customFormat="false" ht="15" hidden="false" customHeight="false" outlineLevel="0" collapsed="false">
      <c r="A76" s="14" t="s">
        <v>298</v>
      </c>
      <c r="B76" s="6" t="str">
        <f aca="false">IF(B74=0,"",IF(B69/B74&lt;Reference!$B$19,"Band1&lt;5%: verify (not auto-adjusted)","ok"))</f>
        <v/>
      </c>
      <c r="C76" s="6"/>
      <c r="D76" s="6"/>
      <c r="E76" s="6"/>
      <c r="F76" s="6"/>
    </row>
    <row r="77" customFormat="false" ht="23.85" hidden="false" customHeight="false" outlineLevel="0" collapsed="false">
      <c r="A77" s="14" t="s">
        <v>299</v>
      </c>
      <c r="B77" s="29" t="str">
        <f aca="false">IF('1 Setup &amp; Keys'!$B$21="","",IFERROR(SUM('3 Import Manager'!$U$5:$U$154)/'1 Setup &amp; Keys'!$B$21,""))</f>
        <v/>
      </c>
    </row>
    <row r="79" customFormat="false" ht="15" hidden="false" customHeight="true" outlineLevel="0" collapsed="false">
      <c r="A79" s="10" t="s">
        <v>300</v>
      </c>
      <c r="B79" s="10"/>
      <c r="C79" s="10"/>
      <c r="D79" s="10"/>
      <c r="E79" s="10"/>
      <c r="F79" s="10"/>
      <c r="G79" s="10"/>
      <c r="H79" s="10"/>
    </row>
    <row r="80" customFormat="false" ht="23.85" hidden="false" customHeight="false" outlineLevel="0" collapsed="false">
      <c r="A80" s="14" t="s">
        <v>301</v>
      </c>
      <c r="B80" s="29" t="str">
        <f aca="false">IF('1 Setup &amp; Keys'!$B$23="","",IFERROR(COUNT('5 Import TeamLeader'!$N$5:$N$44)/'1 Setup &amp; Keys'!$B$23,""))</f>
        <v/>
      </c>
    </row>
    <row r="81" customFormat="false" ht="15" hidden="false" customHeight="false" outlineLevel="0" collapsed="false">
      <c r="A81" s="6" t="str">
        <f aca="false">IF($B80="","",IF($B80&lt;Reference!$B$8,"LOW team-leader response","ok"))</f>
        <v/>
      </c>
      <c r="B81" s="6"/>
      <c r="C81" s="6"/>
      <c r="D81" s="6"/>
    </row>
    <row r="82" customFormat="false" ht="15" hidden="false" customHeight="false" outlineLevel="0" collapsed="false">
      <c r="A82" s="11" t="s">
        <v>302</v>
      </c>
      <c r="B82" s="30" t="str">
        <f aca="false">IFERROR(AVERAGE('5 Import TeamLeader'!$N$5:$N$44),"")</f>
        <v/>
      </c>
    </row>
    <row r="84" customFormat="false" ht="15" hidden="false" customHeight="true" outlineLevel="0" collapsed="false">
      <c r="A84" s="10" t="s">
        <v>303</v>
      </c>
      <c r="B84" s="10"/>
      <c r="C84" s="10"/>
      <c r="D84" s="10"/>
      <c r="E84" s="10"/>
      <c r="F84" s="10"/>
      <c r="G84" s="10"/>
      <c r="H84" s="10"/>
    </row>
    <row r="85" customFormat="false" ht="19.4" hidden="false" customHeight="true" outlineLevel="0" collapsed="false">
      <c r="A85" s="9" t="s">
        <v>304</v>
      </c>
      <c r="B85" s="9"/>
      <c r="C85" s="9"/>
      <c r="D85" s="9"/>
      <c r="E85" s="9"/>
      <c r="F85" s="9"/>
      <c r="G85" s="9"/>
      <c r="H85" s="9"/>
    </row>
    <row r="86" customFormat="false" ht="22.35" hidden="false" customHeight="false" outlineLevel="0" collapsed="false">
      <c r="A86" s="15" t="s">
        <v>305</v>
      </c>
      <c r="B86" s="15" t="s">
        <v>306</v>
      </c>
      <c r="C86" s="15" t="s">
        <v>307</v>
      </c>
      <c r="D86" s="15" t="s">
        <v>308</v>
      </c>
      <c r="E86" s="15" t="s">
        <v>309</v>
      </c>
      <c r="F86" s="15" t="s">
        <v>272</v>
      </c>
      <c r="G86" s="15" t="s">
        <v>280</v>
      </c>
    </row>
    <row r="87" customFormat="false" ht="15" hidden="false" customHeight="false" outlineLevel="0" collapsed="false">
      <c r="A87" s="12"/>
      <c r="B87" s="13"/>
      <c r="C87" s="13"/>
      <c r="D87" s="13"/>
      <c r="E87" s="13"/>
      <c r="F87" s="19" t="str">
        <f aca="false">IF(OR(B87="",C87="",C87=0),"",IFERROR(D87/(B87*C87)*100,""))</f>
        <v/>
      </c>
      <c r="G87" s="29" t="str">
        <f aca="false">IF(OR(C87="",'1 Setup &amp; Keys'!$B$20=""),"",IFERROR(C87/'1 Setup &amp; Keys'!$B$20,""))</f>
        <v/>
      </c>
    </row>
    <row r="88" customFormat="false" ht="15" hidden="false" customHeight="false" outlineLevel="0" collapsed="false">
      <c r="A88" s="12"/>
      <c r="B88" s="13"/>
      <c r="C88" s="13"/>
      <c r="D88" s="13"/>
      <c r="E88" s="13"/>
      <c r="F88" s="19" t="str">
        <f aca="false">IF(OR(B88="",C88="",C88=0),"",IFERROR(D88/(B88*C88)*100,""))</f>
        <v/>
      </c>
      <c r="G88" s="29" t="str">
        <f aca="false">IF(OR(C88="",'1 Setup &amp; Keys'!$B$20=""),"",IFERROR(C88/'1 Setup &amp; Keys'!$B$20,""))</f>
        <v/>
      </c>
    </row>
    <row r="89" customFormat="false" ht="15" hidden="false" customHeight="false" outlineLevel="0" collapsed="false">
      <c r="A89" s="12"/>
      <c r="B89" s="13"/>
      <c r="C89" s="13"/>
      <c r="D89" s="13"/>
      <c r="E89" s="13"/>
      <c r="F89" s="19" t="str">
        <f aca="false">IF(OR(B89="",C89="",C89=0),"",IFERROR(D89/(B89*C89)*100,""))</f>
        <v/>
      </c>
      <c r="G89" s="29" t="str">
        <f aca="false">IF(OR(C89="",'1 Setup &amp; Keys'!$B$20=""),"",IFERROR(C89/'1 Setup &amp; Keys'!$B$20,""))</f>
        <v/>
      </c>
    </row>
    <row r="90" customFormat="false" ht="15" hidden="false" customHeight="false" outlineLevel="0" collapsed="false">
      <c r="A90" s="12"/>
      <c r="B90" s="13"/>
      <c r="C90" s="13"/>
      <c r="D90" s="13"/>
      <c r="E90" s="13"/>
      <c r="F90" s="19" t="str">
        <f aca="false">IF(OR(B90="",C90="",C90=0),"",IFERROR(D90/(B90*C90)*100,""))</f>
        <v/>
      </c>
      <c r="G90" s="29" t="str">
        <f aca="false">IF(OR(C90="",'1 Setup &amp; Keys'!$B$20=""),"",IFERROR(C90/'1 Setup &amp; Keys'!$B$20,""))</f>
        <v/>
      </c>
    </row>
    <row r="91" customFormat="false" ht="15" hidden="false" customHeight="false" outlineLevel="0" collapsed="false">
      <c r="A91" s="12"/>
      <c r="B91" s="13"/>
      <c r="C91" s="13"/>
      <c r="D91" s="13"/>
      <c r="E91" s="13"/>
      <c r="F91" s="19" t="str">
        <f aca="false">IF(OR(B91="",C91="",C91=0),"",IFERROR(D91/(B91*C91)*100,""))</f>
        <v/>
      </c>
      <c r="G91" s="29" t="str">
        <f aca="false">IF(OR(C91="",'1 Setup &amp; Keys'!$B$20=""),"",IFERROR(C91/'1 Setup &amp; Keys'!$B$20,""))</f>
        <v/>
      </c>
    </row>
    <row r="92" customFormat="false" ht="15" hidden="false" customHeight="false" outlineLevel="0" collapsed="false">
      <c r="A92" s="12"/>
      <c r="B92" s="13"/>
      <c r="C92" s="13"/>
      <c r="D92" s="13"/>
      <c r="E92" s="13"/>
      <c r="F92" s="19" t="str">
        <f aca="false">IF(OR(B92="",C92="",C92=0),"",IFERROR(D92/(B92*C92)*100,""))</f>
        <v/>
      </c>
      <c r="G92" s="29" t="str">
        <f aca="false">IF(OR(C92="",'1 Setup &amp; Keys'!$B$20=""),"",IFERROR(C92/'1 Setup &amp; Keys'!$B$20,""))</f>
        <v/>
      </c>
    </row>
    <row r="94" customFormat="false" ht="15" hidden="false" customHeight="true" outlineLevel="0" collapsed="false">
      <c r="A94" s="10" t="s">
        <v>310</v>
      </c>
      <c r="B94" s="10"/>
      <c r="C94" s="10"/>
      <c r="D94" s="10"/>
      <c r="E94" s="10"/>
      <c r="F94" s="10"/>
      <c r="G94" s="10"/>
      <c r="H94" s="10"/>
    </row>
    <row r="95" customFormat="false" ht="19.4" hidden="false" customHeight="true" outlineLevel="0" collapsed="false">
      <c r="A95" s="9" t="s">
        <v>311</v>
      </c>
      <c r="B95" s="9"/>
      <c r="C95" s="9"/>
      <c r="D95" s="9"/>
      <c r="E95" s="9"/>
      <c r="F95" s="9"/>
      <c r="G95" s="9"/>
      <c r="H95" s="9"/>
    </row>
    <row r="96" customFormat="false" ht="22.35" hidden="false" customHeight="false" outlineLevel="0" collapsed="false">
      <c r="A96" s="15" t="s">
        <v>35</v>
      </c>
      <c r="B96" s="15" t="s">
        <v>36</v>
      </c>
      <c r="C96" s="15" t="s">
        <v>207</v>
      </c>
      <c r="D96" s="15" t="s">
        <v>312</v>
      </c>
      <c r="E96" s="15" t="s">
        <v>313</v>
      </c>
    </row>
    <row r="97" customFormat="false" ht="15" hidden="false" customHeight="false" outlineLevel="0" collapsed="false">
      <c r="A97" s="7" t="str">
        <f aca="false">IF('1 Setup &amp; Keys'!$G$32="","",'1 Setup &amp; Keys'!$G$32)</f>
        <v/>
      </c>
      <c r="B97" s="7" t="str">
        <f aca="false">IF('1 Setup &amp; Keys'!$G$32="","",'1 Setup &amp; Keys'!$H$32)</f>
        <v/>
      </c>
      <c r="C97" s="20" t="str">
        <f aca="false">IF('1 Setup &amp; Keys'!$G$32="","",IFERROR(AVERAGEIFS('6 Import DLP'!$G$5:$G$204,'6 Import DLP'!$B$5:$B$204,'1 Setup &amp; Keys'!$G$32),""))</f>
        <v/>
      </c>
      <c r="D97" s="19" t="str">
        <f aca="false">IF('1 Setup &amp; Keys'!$G$32="","",IFERROR(AVERAGEIFS('6 Import DLP'!$E$5:$E$204,'6 Import DLP'!$B$5:$B$204,'1 Setup &amp; Keys'!$G$32),""))</f>
        <v/>
      </c>
      <c r="E97" s="20" t="str">
        <f aca="false">IF('1 Setup &amp; Keys'!$G$32="","",COUNTIFS('6 Import DLP'!$B$5:$B$204,'1 Setup &amp; Keys'!$G$32))</f>
        <v/>
      </c>
    </row>
    <row r="98" customFormat="false" ht="15" hidden="false" customHeight="false" outlineLevel="0" collapsed="false">
      <c r="A98" s="7" t="str">
        <f aca="false">IF('1 Setup &amp; Keys'!$G$33="","",'1 Setup &amp; Keys'!$G$33)</f>
        <v/>
      </c>
      <c r="B98" s="7" t="str">
        <f aca="false">IF('1 Setup &amp; Keys'!$G$33="","",'1 Setup &amp; Keys'!$H$33)</f>
        <v/>
      </c>
      <c r="C98" s="20" t="str">
        <f aca="false">IF('1 Setup &amp; Keys'!$G$33="","",IFERROR(AVERAGEIFS('6 Import DLP'!$G$5:$G$204,'6 Import DLP'!$B$5:$B$204,'1 Setup &amp; Keys'!$G$33),""))</f>
        <v/>
      </c>
      <c r="D98" s="19" t="str">
        <f aca="false">IF('1 Setup &amp; Keys'!$G$33="","",IFERROR(AVERAGEIFS('6 Import DLP'!$E$5:$E$204,'6 Import DLP'!$B$5:$B$204,'1 Setup &amp; Keys'!$G$33),""))</f>
        <v/>
      </c>
      <c r="E98" s="20" t="str">
        <f aca="false">IF('1 Setup &amp; Keys'!$G$33="","",COUNTIFS('6 Import DLP'!$B$5:$B$204,'1 Setup &amp; Keys'!$G$33))</f>
        <v/>
      </c>
    </row>
    <row r="99" customFormat="false" ht="15" hidden="false" customHeight="false" outlineLevel="0" collapsed="false">
      <c r="A99" s="7" t="str">
        <f aca="false">IF('1 Setup &amp; Keys'!$G$34="","",'1 Setup &amp; Keys'!$G$34)</f>
        <v/>
      </c>
      <c r="B99" s="7" t="str">
        <f aca="false">IF('1 Setup &amp; Keys'!$G$34="","",'1 Setup &amp; Keys'!$H$34)</f>
        <v/>
      </c>
      <c r="C99" s="20" t="str">
        <f aca="false">IF('1 Setup &amp; Keys'!$G$34="","",IFERROR(AVERAGEIFS('6 Import DLP'!$G$5:$G$204,'6 Import DLP'!$B$5:$B$204,'1 Setup &amp; Keys'!$G$34),""))</f>
        <v/>
      </c>
      <c r="D99" s="19" t="str">
        <f aca="false">IF('1 Setup &amp; Keys'!$G$34="","",IFERROR(AVERAGEIFS('6 Import DLP'!$E$5:$E$204,'6 Import DLP'!$B$5:$B$204,'1 Setup &amp; Keys'!$G$34),""))</f>
        <v/>
      </c>
      <c r="E99" s="20" t="str">
        <f aca="false">IF('1 Setup &amp; Keys'!$G$34="","",COUNTIFS('6 Import DLP'!$B$5:$B$204,'1 Setup &amp; Keys'!$G$34))</f>
        <v/>
      </c>
    </row>
    <row r="100" customFormat="false" ht="15" hidden="false" customHeight="false" outlineLevel="0" collapsed="false">
      <c r="A100" s="7" t="str">
        <f aca="false">IF('1 Setup &amp; Keys'!$G$35="","",'1 Setup &amp; Keys'!$G$35)</f>
        <v/>
      </c>
      <c r="B100" s="7" t="str">
        <f aca="false">IF('1 Setup &amp; Keys'!$G$35="","",'1 Setup &amp; Keys'!$H$35)</f>
        <v/>
      </c>
      <c r="C100" s="20" t="str">
        <f aca="false">IF('1 Setup &amp; Keys'!$G$35="","",IFERROR(AVERAGEIFS('6 Import DLP'!$G$5:$G$204,'6 Import DLP'!$B$5:$B$204,'1 Setup &amp; Keys'!$G$35),""))</f>
        <v/>
      </c>
      <c r="D100" s="19" t="str">
        <f aca="false">IF('1 Setup &amp; Keys'!$G$35="","",IFERROR(AVERAGEIFS('6 Import DLP'!$E$5:$E$204,'6 Import DLP'!$B$5:$B$204,'1 Setup &amp; Keys'!$G$35),""))</f>
        <v/>
      </c>
      <c r="E100" s="20" t="str">
        <f aca="false">IF('1 Setup &amp; Keys'!$G$35="","",COUNTIFS('6 Import DLP'!$B$5:$B$204,'1 Setup &amp; Keys'!$G$35))</f>
        <v/>
      </c>
    </row>
    <row r="101" customFormat="false" ht="15" hidden="false" customHeight="false" outlineLevel="0" collapsed="false">
      <c r="A101" s="7" t="str">
        <f aca="false">IF('1 Setup &amp; Keys'!$G$36="","",'1 Setup &amp; Keys'!$G$36)</f>
        <v/>
      </c>
      <c r="B101" s="7" t="str">
        <f aca="false">IF('1 Setup &amp; Keys'!$G$36="","",'1 Setup &amp; Keys'!$H$36)</f>
        <v/>
      </c>
      <c r="C101" s="20" t="str">
        <f aca="false">IF('1 Setup &amp; Keys'!$G$36="","",IFERROR(AVERAGEIFS('6 Import DLP'!$G$5:$G$204,'6 Import DLP'!$B$5:$B$204,'1 Setup &amp; Keys'!$G$36),""))</f>
        <v/>
      </c>
      <c r="D101" s="19" t="str">
        <f aca="false">IF('1 Setup &amp; Keys'!$G$36="","",IFERROR(AVERAGEIFS('6 Import DLP'!$E$5:$E$204,'6 Import DLP'!$B$5:$B$204,'1 Setup &amp; Keys'!$G$36),""))</f>
        <v/>
      </c>
      <c r="E101" s="20" t="str">
        <f aca="false">IF('1 Setup &amp; Keys'!$G$36="","",COUNTIFS('6 Import DLP'!$B$5:$B$204,'1 Setup &amp; Keys'!$G$36))</f>
        <v/>
      </c>
    </row>
    <row r="102" customFormat="false" ht="15" hidden="false" customHeight="false" outlineLevel="0" collapsed="false">
      <c r="A102" s="7" t="str">
        <f aca="false">IF('1 Setup &amp; Keys'!$G$37="","",'1 Setup &amp; Keys'!$G$37)</f>
        <v/>
      </c>
      <c r="B102" s="7" t="str">
        <f aca="false">IF('1 Setup &amp; Keys'!$G$37="","",'1 Setup &amp; Keys'!$H$37)</f>
        <v/>
      </c>
      <c r="C102" s="20" t="str">
        <f aca="false">IF('1 Setup &amp; Keys'!$G$37="","",IFERROR(AVERAGEIFS('6 Import DLP'!$G$5:$G$204,'6 Import DLP'!$B$5:$B$204,'1 Setup &amp; Keys'!$G$37),""))</f>
        <v/>
      </c>
      <c r="D102" s="19" t="str">
        <f aca="false">IF('1 Setup &amp; Keys'!$G$37="","",IFERROR(AVERAGEIFS('6 Import DLP'!$E$5:$E$204,'6 Import DLP'!$B$5:$B$204,'1 Setup &amp; Keys'!$G$37),""))</f>
        <v/>
      </c>
      <c r="E102" s="20" t="str">
        <f aca="false">IF('1 Setup &amp; Keys'!$G$37="","",COUNTIFS('6 Import DLP'!$B$5:$B$204,'1 Setup &amp; Keys'!$G$37))</f>
        <v/>
      </c>
    </row>
    <row r="103" customFormat="false" ht="15" hidden="false" customHeight="false" outlineLevel="0" collapsed="false">
      <c r="A103" s="7" t="str">
        <f aca="false">IF('1 Setup &amp; Keys'!$G$38="","",'1 Setup &amp; Keys'!$G$38)</f>
        <v/>
      </c>
      <c r="B103" s="7" t="str">
        <f aca="false">IF('1 Setup &amp; Keys'!$G$38="","",'1 Setup &amp; Keys'!$H$38)</f>
        <v/>
      </c>
      <c r="C103" s="20" t="str">
        <f aca="false">IF('1 Setup &amp; Keys'!$G$38="","",IFERROR(AVERAGEIFS('6 Import DLP'!$G$5:$G$204,'6 Import DLP'!$B$5:$B$204,'1 Setup &amp; Keys'!$G$38),""))</f>
        <v/>
      </c>
      <c r="D103" s="19" t="str">
        <f aca="false">IF('1 Setup &amp; Keys'!$G$38="","",IFERROR(AVERAGEIFS('6 Import DLP'!$E$5:$E$204,'6 Import DLP'!$B$5:$B$204,'1 Setup &amp; Keys'!$G$38),""))</f>
        <v/>
      </c>
      <c r="E103" s="20" t="str">
        <f aca="false">IF('1 Setup &amp; Keys'!$G$38="","",COUNTIFS('6 Import DLP'!$B$5:$B$204,'1 Setup &amp; Keys'!$G$38))</f>
        <v/>
      </c>
    </row>
    <row r="104" customFormat="false" ht="15" hidden="false" customHeight="false" outlineLevel="0" collapsed="false">
      <c r="A104" s="7" t="str">
        <f aca="false">IF('1 Setup &amp; Keys'!$G$39="","",'1 Setup &amp; Keys'!$G$39)</f>
        <v/>
      </c>
      <c r="B104" s="7" t="str">
        <f aca="false">IF('1 Setup &amp; Keys'!$G$39="","",'1 Setup &amp; Keys'!$H$39)</f>
        <v/>
      </c>
      <c r="C104" s="20" t="str">
        <f aca="false">IF('1 Setup &amp; Keys'!$G$39="","",IFERROR(AVERAGEIFS('6 Import DLP'!$G$5:$G$204,'6 Import DLP'!$B$5:$B$204,'1 Setup &amp; Keys'!$G$39),""))</f>
        <v/>
      </c>
      <c r="D104" s="19" t="str">
        <f aca="false">IF('1 Setup &amp; Keys'!$G$39="","",IFERROR(AVERAGEIFS('6 Import DLP'!$E$5:$E$204,'6 Import DLP'!$B$5:$B$204,'1 Setup &amp; Keys'!$G$39),""))</f>
        <v/>
      </c>
      <c r="E104" s="20" t="str">
        <f aca="false">IF('1 Setup &amp; Keys'!$G$39="","",COUNTIFS('6 Import DLP'!$B$5:$B$204,'1 Setup &amp; Keys'!$G$39))</f>
        <v/>
      </c>
    </row>
    <row r="105" customFormat="false" ht="15" hidden="false" customHeight="false" outlineLevel="0" collapsed="false">
      <c r="A105" s="7" t="str">
        <f aca="false">IF('1 Setup &amp; Keys'!$G$40="","",'1 Setup &amp; Keys'!$G$40)</f>
        <v/>
      </c>
      <c r="B105" s="7" t="str">
        <f aca="false">IF('1 Setup &amp; Keys'!$G$40="","",'1 Setup &amp; Keys'!$H$40)</f>
        <v/>
      </c>
      <c r="C105" s="20" t="str">
        <f aca="false">IF('1 Setup &amp; Keys'!$G$40="","",IFERROR(AVERAGEIFS('6 Import DLP'!$G$5:$G$204,'6 Import DLP'!$B$5:$B$204,'1 Setup &amp; Keys'!$G$40),""))</f>
        <v/>
      </c>
      <c r="D105" s="19" t="str">
        <f aca="false">IF('1 Setup &amp; Keys'!$G$40="","",IFERROR(AVERAGEIFS('6 Import DLP'!$E$5:$E$204,'6 Import DLP'!$B$5:$B$204,'1 Setup &amp; Keys'!$G$40),""))</f>
        <v/>
      </c>
      <c r="E105" s="20" t="str">
        <f aca="false">IF('1 Setup &amp; Keys'!$G$40="","",COUNTIFS('6 Import DLP'!$B$5:$B$204,'1 Setup &amp; Keys'!$G$40))</f>
        <v/>
      </c>
    </row>
    <row r="106" customFormat="false" ht="15" hidden="false" customHeight="false" outlineLevel="0" collapsed="false">
      <c r="A106" s="7" t="str">
        <f aca="false">IF('1 Setup &amp; Keys'!$G$41="","",'1 Setup &amp; Keys'!$G$41)</f>
        <v/>
      </c>
      <c r="B106" s="7" t="str">
        <f aca="false">IF('1 Setup &amp; Keys'!$G$41="","",'1 Setup &amp; Keys'!$H$41)</f>
        <v/>
      </c>
      <c r="C106" s="20" t="str">
        <f aca="false">IF('1 Setup &amp; Keys'!$G$41="","",IFERROR(AVERAGEIFS('6 Import DLP'!$G$5:$G$204,'6 Import DLP'!$B$5:$B$204,'1 Setup &amp; Keys'!$G$41),""))</f>
        <v/>
      </c>
      <c r="D106" s="19" t="str">
        <f aca="false">IF('1 Setup &amp; Keys'!$G$41="","",IFERROR(AVERAGEIFS('6 Import DLP'!$E$5:$E$204,'6 Import DLP'!$B$5:$B$204,'1 Setup &amp; Keys'!$G$41),""))</f>
        <v/>
      </c>
      <c r="E106" s="20" t="str">
        <f aca="false">IF('1 Setup &amp; Keys'!$G$41="","",COUNTIFS('6 Import DLP'!$B$5:$B$204,'1 Setup &amp; Keys'!$G$41))</f>
        <v/>
      </c>
    </row>
    <row r="107" customFormat="false" ht="15" hidden="false" customHeight="false" outlineLevel="0" collapsed="false">
      <c r="A107" s="7" t="str">
        <f aca="false">IF('1 Setup &amp; Keys'!$G$42="","",'1 Setup &amp; Keys'!$G$42)</f>
        <v/>
      </c>
      <c r="B107" s="7" t="str">
        <f aca="false">IF('1 Setup &amp; Keys'!$G$42="","",'1 Setup &amp; Keys'!$H$42)</f>
        <v/>
      </c>
      <c r="C107" s="20" t="str">
        <f aca="false">IF('1 Setup &amp; Keys'!$G$42="","",IFERROR(AVERAGEIFS('6 Import DLP'!$G$5:$G$204,'6 Import DLP'!$B$5:$B$204,'1 Setup &amp; Keys'!$G$42),""))</f>
        <v/>
      </c>
      <c r="D107" s="19" t="str">
        <f aca="false">IF('1 Setup &amp; Keys'!$G$42="","",IFERROR(AVERAGEIFS('6 Import DLP'!$E$5:$E$204,'6 Import DLP'!$B$5:$B$204,'1 Setup &amp; Keys'!$G$42),""))</f>
        <v/>
      </c>
      <c r="E107" s="20" t="str">
        <f aca="false">IF('1 Setup &amp; Keys'!$G$42="","",COUNTIFS('6 Import DLP'!$B$5:$B$204,'1 Setup &amp; Keys'!$G$42))</f>
        <v/>
      </c>
    </row>
    <row r="108" customFormat="false" ht="15" hidden="false" customHeight="false" outlineLevel="0" collapsed="false">
      <c r="A108" s="7" t="str">
        <f aca="false">IF('1 Setup &amp; Keys'!$G$43="","",'1 Setup &amp; Keys'!$G$43)</f>
        <v/>
      </c>
      <c r="B108" s="7" t="str">
        <f aca="false">IF('1 Setup &amp; Keys'!$G$43="","",'1 Setup &amp; Keys'!$H$43)</f>
        <v/>
      </c>
      <c r="C108" s="20" t="str">
        <f aca="false">IF('1 Setup &amp; Keys'!$G$43="","",IFERROR(AVERAGEIFS('6 Import DLP'!$G$5:$G$204,'6 Import DLP'!$B$5:$B$204,'1 Setup &amp; Keys'!$G$43),""))</f>
        <v/>
      </c>
      <c r="D108" s="19" t="str">
        <f aca="false">IF('1 Setup &amp; Keys'!$G$43="","",IFERROR(AVERAGEIFS('6 Import DLP'!$E$5:$E$204,'6 Import DLP'!$B$5:$B$204,'1 Setup &amp; Keys'!$G$43),""))</f>
        <v/>
      </c>
      <c r="E108" s="20" t="str">
        <f aca="false">IF('1 Setup &amp; Keys'!$G$43="","",COUNTIFS('6 Import DLP'!$B$5:$B$204,'1 Setup &amp; Keys'!$G$43))</f>
        <v/>
      </c>
    </row>
    <row r="109" customFormat="false" ht="15" hidden="false" customHeight="false" outlineLevel="0" collapsed="false">
      <c r="A109" s="7" t="str">
        <f aca="false">IF('1 Setup &amp; Keys'!$G$44="","",'1 Setup &amp; Keys'!$G$44)</f>
        <v/>
      </c>
      <c r="B109" s="7" t="str">
        <f aca="false">IF('1 Setup &amp; Keys'!$G$44="","",'1 Setup &amp; Keys'!$H$44)</f>
        <v/>
      </c>
      <c r="C109" s="20" t="str">
        <f aca="false">IF('1 Setup &amp; Keys'!$G$44="","",IFERROR(AVERAGEIFS('6 Import DLP'!$G$5:$G$204,'6 Import DLP'!$B$5:$B$204,'1 Setup &amp; Keys'!$G$44),""))</f>
        <v/>
      </c>
      <c r="D109" s="19" t="str">
        <f aca="false">IF('1 Setup &amp; Keys'!$G$44="","",IFERROR(AVERAGEIFS('6 Import DLP'!$E$5:$E$204,'6 Import DLP'!$B$5:$B$204,'1 Setup &amp; Keys'!$G$44),""))</f>
        <v/>
      </c>
      <c r="E109" s="20" t="str">
        <f aca="false">IF('1 Setup &amp; Keys'!$G$44="","",COUNTIFS('6 Import DLP'!$B$5:$B$204,'1 Setup &amp; Keys'!$G$44))</f>
        <v/>
      </c>
    </row>
    <row r="110" customFormat="false" ht="15" hidden="false" customHeight="false" outlineLevel="0" collapsed="false">
      <c r="A110" s="7" t="str">
        <f aca="false">IF('1 Setup &amp; Keys'!$G$45="","",'1 Setup &amp; Keys'!$G$45)</f>
        <v/>
      </c>
      <c r="B110" s="7" t="str">
        <f aca="false">IF('1 Setup &amp; Keys'!$G$45="","",'1 Setup &amp; Keys'!$H$45)</f>
        <v/>
      </c>
      <c r="C110" s="20" t="str">
        <f aca="false">IF('1 Setup &amp; Keys'!$G$45="","",IFERROR(AVERAGEIFS('6 Import DLP'!$G$5:$G$204,'6 Import DLP'!$B$5:$B$204,'1 Setup &amp; Keys'!$G$45),""))</f>
        <v/>
      </c>
      <c r="D110" s="19" t="str">
        <f aca="false">IF('1 Setup &amp; Keys'!$G$45="","",IFERROR(AVERAGEIFS('6 Import DLP'!$E$5:$E$204,'6 Import DLP'!$B$5:$B$204,'1 Setup &amp; Keys'!$G$45),""))</f>
        <v/>
      </c>
      <c r="E110" s="20" t="str">
        <f aca="false">IF('1 Setup &amp; Keys'!$G$45="","",COUNTIFS('6 Import DLP'!$B$5:$B$204,'1 Setup &amp; Keys'!$G$45))</f>
        <v/>
      </c>
    </row>
    <row r="111" customFormat="false" ht="15" hidden="false" customHeight="false" outlineLevel="0" collapsed="false">
      <c r="A111" s="7" t="str">
        <f aca="false">IF('1 Setup &amp; Keys'!$G$46="","",'1 Setup &amp; Keys'!$G$46)</f>
        <v/>
      </c>
      <c r="B111" s="7" t="str">
        <f aca="false">IF('1 Setup &amp; Keys'!$G$46="","",'1 Setup &amp; Keys'!$H$46)</f>
        <v/>
      </c>
      <c r="C111" s="20" t="str">
        <f aca="false">IF('1 Setup &amp; Keys'!$G$46="","",IFERROR(AVERAGEIFS('6 Import DLP'!$G$5:$G$204,'6 Import DLP'!$B$5:$B$204,'1 Setup &amp; Keys'!$G$46),""))</f>
        <v/>
      </c>
      <c r="D111" s="19" t="str">
        <f aca="false">IF('1 Setup &amp; Keys'!$G$46="","",IFERROR(AVERAGEIFS('6 Import DLP'!$E$5:$E$204,'6 Import DLP'!$B$5:$B$204,'1 Setup &amp; Keys'!$G$46),""))</f>
        <v/>
      </c>
      <c r="E111" s="20" t="str">
        <f aca="false">IF('1 Setup &amp; Keys'!$G$46="","",COUNTIFS('6 Import DLP'!$B$5:$B$204,'1 Setup &amp; Keys'!$G$46))</f>
        <v/>
      </c>
    </row>
    <row r="112" customFormat="false" ht="15" hidden="false" customHeight="false" outlineLevel="0" collapsed="false">
      <c r="A112" s="7" t="str">
        <f aca="false">IF('1 Setup &amp; Keys'!$G$47="","",'1 Setup &amp; Keys'!$G$47)</f>
        <v/>
      </c>
      <c r="B112" s="7" t="str">
        <f aca="false">IF('1 Setup &amp; Keys'!$G$47="","",'1 Setup &amp; Keys'!$H$47)</f>
        <v/>
      </c>
      <c r="C112" s="20" t="str">
        <f aca="false">IF('1 Setup &amp; Keys'!$G$47="","",IFERROR(AVERAGEIFS('6 Import DLP'!$G$5:$G$204,'6 Import DLP'!$B$5:$B$204,'1 Setup &amp; Keys'!$G$47),""))</f>
        <v/>
      </c>
      <c r="D112" s="19" t="str">
        <f aca="false">IF('1 Setup &amp; Keys'!$G$47="","",IFERROR(AVERAGEIFS('6 Import DLP'!$E$5:$E$204,'6 Import DLP'!$B$5:$B$204,'1 Setup &amp; Keys'!$G$47),""))</f>
        <v/>
      </c>
      <c r="E112" s="20" t="str">
        <f aca="false">IF('1 Setup &amp; Keys'!$G$47="","",COUNTIFS('6 Import DLP'!$B$5:$B$204,'1 Setup &amp; Keys'!$G$47))</f>
        <v/>
      </c>
    </row>
    <row r="113" customFormat="false" ht="15" hidden="false" customHeight="false" outlineLevel="0" collapsed="false">
      <c r="A113" s="7" t="str">
        <f aca="false">IF('1 Setup &amp; Keys'!$G$48="","",'1 Setup &amp; Keys'!$G$48)</f>
        <v/>
      </c>
      <c r="B113" s="7" t="str">
        <f aca="false">IF('1 Setup &amp; Keys'!$G$48="","",'1 Setup &amp; Keys'!$H$48)</f>
        <v/>
      </c>
      <c r="C113" s="20" t="str">
        <f aca="false">IF('1 Setup &amp; Keys'!$G$48="","",IFERROR(AVERAGEIFS('6 Import DLP'!$G$5:$G$204,'6 Import DLP'!$B$5:$B$204,'1 Setup &amp; Keys'!$G$48),""))</f>
        <v/>
      </c>
      <c r="D113" s="19" t="str">
        <f aca="false">IF('1 Setup &amp; Keys'!$G$48="","",IFERROR(AVERAGEIFS('6 Import DLP'!$E$5:$E$204,'6 Import DLP'!$B$5:$B$204,'1 Setup &amp; Keys'!$G$48),""))</f>
        <v/>
      </c>
      <c r="E113" s="20" t="str">
        <f aca="false">IF('1 Setup &amp; Keys'!$G$48="","",COUNTIFS('6 Import DLP'!$B$5:$B$204,'1 Setup &amp; Keys'!$G$48))</f>
        <v/>
      </c>
    </row>
    <row r="114" customFormat="false" ht="15" hidden="false" customHeight="false" outlineLevel="0" collapsed="false">
      <c r="A114" s="7" t="str">
        <f aca="false">IF('1 Setup &amp; Keys'!$G$49="","",'1 Setup &amp; Keys'!$G$49)</f>
        <v/>
      </c>
      <c r="B114" s="7" t="str">
        <f aca="false">IF('1 Setup &amp; Keys'!$G$49="","",'1 Setup &amp; Keys'!$H$49)</f>
        <v/>
      </c>
      <c r="C114" s="20" t="str">
        <f aca="false">IF('1 Setup &amp; Keys'!$G$49="","",IFERROR(AVERAGEIFS('6 Import DLP'!$G$5:$G$204,'6 Import DLP'!$B$5:$B$204,'1 Setup &amp; Keys'!$G$49),""))</f>
        <v/>
      </c>
      <c r="D114" s="19" t="str">
        <f aca="false">IF('1 Setup &amp; Keys'!$G$49="","",IFERROR(AVERAGEIFS('6 Import DLP'!$E$5:$E$204,'6 Import DLP'!$B$5:$B$204,'1 Setup &amp; Keys'!$G$49),""))</f>
        <v/>
      </c>
      <c r="E114" s="20" t="str">
        <f aca="false">IF('1 Setup &amp; Keys'!$G$49="","",COUNTIFS('6 Import DLP'!$B$5:$B$204,'1 Setup &amp; Keys'!$G$49))</f>
        <v/>
      </c>
    </row>
    <row r="115" customFormat="false" ht="15" hidden="false" customHeight="false" outlineLevel="0" collapsed="false">
      <c r="A115" s="7" t="str">
        <f aca="false">IF('1 Setup &amp; Keys'!$G$50="","",'1 Setup &amp; Keys'!$G$50)</f>
        <v/>
      </c>
      <c r="B115" s="7" t="str">
        <f aca="false">IF('1 Setup &amp; Keys'!$G$50="","",'1 Setup &amp; Keys'!$H$50)</f>
        <v/>
      </c>
      <c r="C115" s="20" t="str">
        <f aca="false">IF('1 Setup &amp; Keys'!$G$50="","",IFERROR(AVERAGEIFS('6 Import DLP'!$G$5:$G$204,'6 Import DLP'!$B$5:$B$204,'1 Setup &amp; Keys'!$G$50),""))</f>
        <v/>
      </c>
      <c r="D115" s="19" t="str">
        <f aca="false">IF('1 Setup &amp; Keys'!$G$50="","",IFERROR(AVERAGEIFS('6 Import DLP'!$E$5:$E$204,'6 Import DLP'!$B$5:$B$204,'1 Setup &amp; Keys'!$G$50),""))</f>
        <v/>
      </c>
      <c r="E115" s="20" t="str">
        <f aca="false">IF('1 Setup &amp; Keys'!$G$50="","",COUNTIFS('6 Import DLP'!$B$5:$B$204,'1 Setup &amp; Keys'!$G$50))</f>
        <v/>
      </c>
    </row>
    <row r="116" customFormat="false" ht="15" hidden="false" customHeight="false" outlineLevel="0" collapsed="false">
      <c r="A116" s="7" t="str">
        <f aca="false">IF('1 Setup &amp; Keys'!$G$51="","",'1 Setup &amp; Keys'!$G$51)</f>
        <v/>
      </c>
      <c r="B116" s="7" t="str">
        <f aca="false">IF('1 Setup &amp; Keys'!$G$51="","",'1 Setup &amp; Keys'!$H$51)</f>
        <v/>
      </c>
      <c r="C116" s="20" t="str">
        <f aca="false">IF('1 Setup &amp; Keys'!$G$51="","",IFERROR(AVERAGEIFS('6 Import DLP'!$G$5:$G$204,'6 Import DLP'!$B$5:$B$204,'1 Setup &amp; Keys'!$G$51),""))</f>
        <v/>
      </c>
      <c r="D116" s="19" t="str">
        <f aca="false">IF('1 Setup &amp; Keys'!$G$51="","",IFERROR(AVERAGEIFS('6 Import DLP'!$E$5:$E$204,'6 Import DLP'!$B$5:$B$204,'1 Setup &amp; Keys'!$G$51),""))</f>
        <v/>
      </c>
      <c r="E116" s="20" t="str">
        <f aca="false">IF('1 Setup &amp; Keys'!$G$51="","",COUNTIFS('6 Import DLP'!$B$5:$B$204,'1 Setup &amp; Keys'!$G$51))</f>
        <v/>
      </c>
    </row>
    <row r="117" customFormat="false" ht="15" hidden="false" customHeight="false" outlineLevel="0" collapsed="false">
      <c r="A117" s="7" t="str">
        <f aca="false">IF('1 Setup &amp; Keys'!$G$52="","",'1 Setup &amp; Keys'!$G$52)</f>
        <v/>
      </c>
      <c r="B117" s="7" t="str">
        <f aca="false">IF('1 Setup &amp; Keys'!$G$52="","",'1 Setup &amp; Keys'!$H$52)</f>
        <v/>
      </c>
      <c r="C117" s="20" t="str">
        <f aca="false">IF('1 Setup &amp; Keys'!$G$52="","",IFERROR(AVERAGEIFS('6 Import DLP'!$G$5:$G$204,'6 Import DLP'!$B$5:$B$204,'1 Setup &amp; Keys'!$G$52),""))</f>
        <v/>
      </c>
      <c r="D117" s="19" t="str">
        <f aca="false">IF('1 Setup &amp; Keys'!$G$52="","",IFERROR(AVERAGEIFS('6 Import DLP'!$E$5:$E$204,'6 Import DLP'!$B$5:$B$204,'1 Setup &amp; Keys'!$G$52),""))</f>
        <v/>
      </c>
      <c r="E117" s="20" t="str">
        <f aca="false">IF('1 Setup &amp; Keys'!$G$52="","",COUNTIFS('6 Import DLP'!$B$5:$B$204,'1 Setup &amp; Keys'!$G$52))</f>
        <v/>
      </c>
    </row>
    <row r="118" customFormat="false" ht="15" hidden="false" customHeight="false" outlineLevel="0" collapsed="false">
      <c r="A118" s="7" t="str">
        <f aca="false">IF('1 Setup &amp; Keys'!$G$53="","",'1 Setup &amp; Keys'!$G$53)</f>
        <v/>
      </c>
      <c r="B118" s="7" t="str">
        <f aca="false">IF('1 Setup &amp; Keys'!$G$53="","",'1 Setup &amp; Keys'!$H$53)</f>
        <v/>
      </c>
      <c r="C118" s="20" t="str">
        <f aca="false">IF('1 Setup &amp; Keys'!$G$53="","",IFERROR(AVERAGEIFS('6 Import DLP'!$G$5:$G$204,'6 Import DLP'!$B$5:$B$204,'1 Setup &amp; Keys'!$G$53),""))</f>
        <v/>
      </c>
      <c r="D118" s="19" t="str">
        <f aca="false">IF('1 Setup &amp; Keys'!$G$53="","",IFERROR(AVERAGEIFS('6 Import DLP'!$E$5:$E$204,'6 Import DLP'!$B$5:$B$204,'1 Setup &amp; Keys'!$G$53),""))</f>
        <v/>
      </c>
      <c r="E118" s="20" t="str">
        <f aca="false">IF('1 Setup &amp; Keys'!$G$53="","",COUNTIFS('6 Import DLP'!$B$5:$B$204,'1 Setup &amp; Keys'!$G$53))</f>
        <v/>
      </c>
    </row>
    <row r="119" customFormat="false" ht="15" hidden="false" customHeight="false" outlineLevel="0" collapsed="false">
      <c r="A119" s="7" t="str">
        <f aca="false">IF('1 Setup &amp; Keys'!$G$54="","",'1 Setup &amp; Keys'!$G$54)</f>
        <v/>
      </c>
      <c r="B119" s="7" t="str">
        <f aca="false">IF('1 Setup &amp; Keys'!$G$54="","",'1 Setup &amp; Keys'!$H$54)</f>
        <v/>
      </c>
      <c r="C119" s="20" t="str">
        <f aca="false">IF('1 Setup &amp; Keys'!$G$54="","",IFERROR(AVERAGEIFS('6 Import DLP'!$G$5:$G$204,'6 Import DLP'!$B$5:$B$204,'1 Setup &amp; Keys'!$G$54),""))</f>
        <v/>
      </c>
      <c r="D119" s="19" t="str">
        <f aca="false">IF('1 Setup &amp; Keys'!$G$54="","",IFERROR(AVERAGEIFS('6 Import DLP'!$E$5:$E$204,'6 Import DLP'!$B$5:$B$204,'1 Setup &amp; Keys'!$G$54),""))</f>
        <v/>
      </c>
      <c r="E119" s="20" t="str">
        <f aca="false">IF('1 Setup &amp; Keys'!$G$54="","",COUNTIFS('6 Import DLP'!$B$5:$B$204,'1 Setup &amp; Keys'!$G$54))</f>
        <v/>
      </c>
    </row>
    <row r="120" customFormat="false" ht="15" hidden="false" customHeight="false" outlineLevel="0" collapsed="false">
      <c r="A120" s="7" t="str">
        <f aca="false">IF('1 Setup &amp; Keys'!$G$55="","",'1 Setup &amp; Keys'!$G$55)</f>
        <v/>
      </c>
      <c r="B120" s="7" t="str">
        <f aca="false">IF('1 Setup &amp; Keys'!$G$55="","",'1 Setup &amp; Keys'!$H$55)</f>
        <v/>
      </c>
      <c r="C120" s="20" t="str">
        <f aca="false">IF('1 Setup &amp; Keys'!$G$55="","",IFERROR(AVERAGEIFS('6 Import DLP'!$G$5:$G$204,'6 Import DLP'!$B$5:$B$204,'1 Setup &amp; Keys'!$G$55),""))</f>
        <v/>
      </c>
      <c r="D120" s="19" t="str">
        <f aca="false">IF('1 Setup &amp; Keys'!$G$55="","",IFERROR(AVERAGEIFS('6 Import DLP'!$E$5:$E$204,'6 Import DLP'!$B$5:$B$204,'1 Setup &amp; Keys'!$G$55),""))</f>
        <v/>
      </c>
      <c r="E120" s="20" t="str">
        <f aca="false">IF('1 Setup &amp; Keys'!$G$55="","",COUNTIFS('6 Import DLP'!$B$5:$B$204,'1 Setup &amp; Keys'!$G$55))</f>
        <v/>
      </c>
    </row>
    <row r="121" customFormat="false" ht="15" hidden="false" customHeight="false" outlineLevel="0" collapsed="false">
      <c r="A121" s="7" t="str">
        <f aca="false">IF('1 Setup &amp; Keys'!$G$56="","",'1 Setup &amp; Keys'!$G$56)</f>
        <v/>
      </c>
      <c r="B121" s="7" t="str">
        <f aca="false">IF('1 Setup &amp; Keys'!$G$56="","",'1 Setup &amp; Keys'!$H$56)</f>
        <v/>
      </c>
      <c r="C121" s="20" t="str">
        <f aca="false">IF('1 Setup &amp; Keys'!$G$56="","",IFERROR(AVERAGEIFS('6 Import DLP'!$G$5:$G$204,'6 Import DLP'!$B$5:$B$204,'1 Setup &amp; Keys'!$G$56),""))</f>
        <v/>
      </c>
      <c r="D121" s="19" t="str">
        <f aca="false">IF('1 Setup &amp; Keys'!$G$56="","",IFERROR(AVERAGEIFS('6 Import DLP'!$E$5:$E$204,'6 Import DLP'!$B$5:$B$204,'1 Setup &amp; Keys'!$G$56),""))</f>
        <v/>
      </c>
      <c r="E121" s="20" t="str">
        <f aca="false">IF('1 Setup &amp; Keys'!$G$56="","",COUNTIFS('6 Import DLP'!$B$5:$B$204,'1 Setup &amp; Keys'!$G$56))</f>
        <v/>
      </c>
    </row>
    <row r="122" customFormat="false" ht="15" hidden="false" customHeight="false" outlineLevel="0" collapsed="false">
      <c r="A122" s="7" t="str">
        <f aca="false">IF('1 Setup &amp; Keys'!$G$57="","",'1 Setup &amp; Keys'!$G$57)</f>
        <v/>
      </c>
      <c r="B122" s="7" t="str">
        <f aca="false">IF('1 Setup &amp; Keys'!$G$57="","",'1 Setup &amp; Keys'!$H$57)</f>
        <v/>
      </c>
      <c r="C122" s="20" t="str">
        <f aca="false">IF('1 Setup &amp; Keys'!$G$57="","",IFERROR(AVERAGEIFS('6 Import DLP'!$G$5:$G$204,'6 Import DLP'!$B$5:$B$204,'1 Setup &amp; Keys'!$G$57),""))</f>
        <v/>
      </c>
      <c r="D122" s="19" t="str">
        <f aca="false">IF('1 Setup &amp; Keys'!$G$57="","",IFERROR(AVERAGEIFS('6 Import DLP'!$E$5:$E$204,'6 Import DLP'!$B$5:$B$204,'1 Setup &amp; Keys'!$G$57),""))</f>
        <v/>
      </c>
      <c r="E122" s="20" t="str">
        <f aca="false">IF('1 Setup &amp; Keys'!$G$57="","",COUNTIFS('6 Import DLP'!$B$5:$B$204,'1 Setup &amp; Keys'!$G$57))</f>
        <v/>
      </c>
    </row>
    <row r="123" customFormat="false" ht="15" hidden="false" customHeight="false" outlineLevel="0" collapsed="false">
      <c r="A123" s="7" t="str">
        <f aca="false">IF('1 Setup &amp; Keys'!$G$58="","",'1 Setup &amp; Keys'!$G$58)</f>
        <v/>
      </c>
      <c r="B123" s="7" t="str">
        <f aca="false">IF('1 Setup &amp; Keys'!$G$58="","",'1 Setup &amp; Keys'!$H$58)</f>
        <v/>
      </c>
      <c r="C123" s="20" t="str">
        <f aca="false">IF('1 Setup &amp; Keys'!$G$58="","",IFERROR(AVERAGEIFS('6 Import DLP'!$G$5:$G$204,'6 Import DLP'!$B$5:$B$204,'1 Setup &amp; Keys'!$G$58),""))</f>
        <v/>
      </c>
      <c r="D123" s="19" t="str">
        <f aca="false">IF('1 Setup &amp; Keys'!$G$58="","",IFERROR(AVERAGEIFS('6 Import DLP'!$E$5:$E$204,'6 Import DLP'!$B$5:$B$204,'1 Setup &amp; Keys'!$G$58),""))</f>
        <v/>
      </c>
      <c r="E123" s="20" t="str">
        <f aca="false">IF('1 Setup &amp; Keys'!$G$58="","",COUNTIFS('6 Import DLP'!$B$5:$B$204,'1 Setup &amp; Keys'!$G$58))</f>
        <v/>
      </c>
    </row>
    <row r="124" customFormat="false" ht="15" hidden="false" customHeight="false" outlineLevel="0" collapsed="false">
      <c r="A124" s="7" t="str">
        <f aca="false">IF('1 Setup &amp; Keys'!$G$59="","",'1 Setup &amp; Keys'!$G$59)</f>
        <v/>
      </c>
      <c r="B124" s="7" t="str">
        <f aca="false">IF('1 Setup &amp; Keys'!$G$59="","",'1 Setup &amp; Keys'!$H$59)</f>
        <v/>
      </c>
      <c r="C124" s="20" t="str">
        <f aca="false">IF('1 Setup &amp; Keys'!$G$59="","",IFERROR(AVERAGEIFS('6 Import DLP'!$G$5:$G$204,'6 Import DLP'!$B$5:$B$204,'1 Setup &amp; Keys'!$G$59),""))</f>
        <v/>
      </c>
      <c r="D124" s="19" t="str">
        <f aca="false">IF('1 Setup &amp; Keys'!$G$59="","",IFERROR(AVERAGEIFS('6 Import DLP'!$E$5:$E$204,'6 Import DLP'!$B$5:$B$204,'1 Setup &amp; Keys'!$G$59),""))</f>
        <v/>
      </c>
      <c r="E124" s="20" t="str">
        <f aca="false">IF('1 Setup &amp; Keys'!$G$59="","",COUNTIFS('6 Import DLP'!$B$5:$B$204,'1 Setup &amp; Keys'!$G$59))</f>
        <v/>
      </c>
    </row>
    <row r="125" customFormat="false" ht="15" hidden="false" customHeight="false" outlineLevel="0" collapsed="false">
      <c r="A125" s="7" t="str">
        <f aca="false">IF('1 Setup &amp; Keys'!$G$60="","",'1 Setup &amp; Keys'!$G$60)</f>
        <v/>
      </c>
      <c r="B125" s="7" t="str">
        <f aca="false">IF('1 Setup &amp; Keys'!$G$60="","",'1 Setup &amp; Keys'!$H$60)</f>
        <v/>
      </c>
      <c r="C125" s="20" t="str">
        <f aca="false">IF('1 Setup &amp; Keys'!$G$60="","",IFERROR(AVERAGEIFS('6 Import DLP'!$G$5:$G$204,'6 Import DLP'!$B$5:$B$204,'1 Setup &amp; Keys'!$G$60),""))</f>
        <v/>
      </c>
      <c r="D125" s="19" t="str">
        <f aca="false">IF('1 Setup &amp; Keys'!$G$60="","",IFERROR(AVERAGEIFS('6 Import DLP'!$E$5:$E$204,'6 Import DLP'!$B$5:$B$204,'1 Setup &amp; Keys'!$G$60),""))</f>
        <v/>
      </c>
      <c r="E125" s="20" t="str">
        <f aca="false">IF('1 Setup &amp; Keys'!$G$60="","",COUNTIFS('6 Import DLP'!$B$5:$B$204,'1 Setup &amp; Keys'!$G$60))</f>
        <v/>
      </c>
    </row>
    <row r="126" customFormat="false" ht="15" hidden="false" customHeight="false" outlineLevel="0" collapsed="false">
      <c r="A126" s="7" t="str">
        <f aca="false">IF('1 Setup &amp; Keys'!$G$61="","",'1 Setup &amp; Keys'!$G$61)</f>
        <v/>
      </c>
      <c r="B126" s="7" t="str">
        <f aca="false">IF('1 Setup &amp; Keys'!$G$61="","",'1 Setup &amp; Keys'!$H$61)</f>
        <v/>
      </c>
      <c r="C126" s="20" t="str">
        <f aca="false">IF('1 Setup &amp; Keys'!$G$61="","",IFERROR(AVERAGEIFS('6 Import DLP'!$G$5:$G$204,'6 Import DLP'!$B$5:$B$204,'1 Setup &amp; Keys'!$G$61),""))</f>
        <v/>
      </c>
      <c r="D126" s="19" t="str">
        <f aca="false">IF('1 Setup &amp; Keys'!$G$61="","",IFERROR(AVERAGEIFS('6 Import DLP'!$E$5:$E$204,'6 Import DLP'!$B$5:$B$204,'1 Setup &amp; Keys'!$G$61),""))</f>
        <v/>
      </c>
      <c r="E126" s="20" t="str">
        <f aca="false">IF('1 Setup &amp; Keys'!$G$61="","",COUNTIFS('6 Import DLP'!$B$5:$B$204,'1 Setup &amp; Keys'!$G$61))</f>
        <v/>
      </c>
    </row>
    <row r="127" customFormat="false" ht="15" hidden="false" customHeight="false" outlineLevel="0" collapsed="false">
      <c r="A127" s="7" t="str">
        <f aca="false">IF('1 Setup &amp; Keys'!$G$62="","",'1 Setup &amp; Keys'!$G$62)</f>
        <v/>
      </c>
      <c r="B127" s="7" t="str">
        <f aca="false">IF('1 Setup &amp; Keys'!$G$62="","",'1 Setup &amp; Keys'!$H$62)</f>
        <v/>
      </c>
      <c r="C127" s="20" t="str">
        <f aca="false">IF('1 Setup &amp; Keys'!$G$62="","",IFERROR(AVERAGEIFS('6 Import DLP'!$G$5:$G$204,'6 Import DLP'!$B$5:$B$204,'1 Setup &amp; Keys'!$G$62),""))</f>
        <v/>
      </c>
      <c r="D127" s="19" t="str">
        <f aca="false">IF('1 Setup &amp; Keys'!$G$62="","",IFERROR(AVERAGEIFS('6 Import DLP'!$E$5:$E$204,'6 Import DLP'!$B$5:$B$204,'1 Setup &amp; Keys'!$G$62),""))</f>
        <v/>
      </c>
      <c r="E127" s="20" t="str">
        <f aca="false">IF('1 Setup &amp; Keys'!$G$62="","",COUNTIFS('6 Import DLP'!$B$5:$B$204,'1 Setup &amp; Keys'!$G$62))</f>
        <v/>
      </c>
    </row>
    <row r="128" customFormat="false" ht="15" hidden="false" customHeight="false" outlineLevel="0" collapsed="false">
      <c r="A128" s="7" t="str">
        <f aca="false">IF('1 Setup &amp; Keys'!$G$63="","",'1 Setup &amp; Keys'!$G$63)</f>
        <v/>
      </c>
      <c r="B128" s="7" t="str">
        <f aca="false">IF('1 Setup &amp; Keys'!$G$63="","",'1 Setup &amp; Keys'!$H$63)</f>
        <v/>
      </c>
      <c r="C128" s="20" t="str">
        <f aca="false">IF('1 Setup &amp; Keys'!$G$63="","",IFERROR(AVERAGEIFS('6 Import DLP'!$G$5:$G$204,'6 Import DLP'!$B$5:$B$204,'1 Setup &amp; Keys'!$G$63),""))</f>
        <v/>
      </c>
      <c r="D128" s="19" t="str">
        <f aca="false">IF('1 Setup &amp; Keys'!$G$63="","",IFERROR(AVERAGEIFS('6 Import DLP'!$E$5:$E$204,'6 Import DLP'!$B$5:$B$204,'1 Setup &amp; Keys'!$G$63),""))</f>
        <v/>
      </c>
      <c r="E128" s="20" t="str">
        <f aca="false">IF('1 Setup &amp; Keys'!$G$63="","",COUNTIFS('6 Import DLP'!$B$5:$B$204,'1 Setup &amp; Keys'!$G$63))</f>
        <v/>
      </c>
    </row>
    <row r="129" customFormat="false" ht="15" hidden="false" customHeight="false" outlineLevel="0" collapsed="false">
      <c r="A129" s="7" t="str">
        <f aca="false">IF('1 Setup &amp; Keys'!$G$64="","",'1 Setup &amp; Keys'!$G$64)</f>
        <v/>
      </c>
      <c r="B129" s="7" t="str">
        <f aca="false">IF('1 Setup &amp; Keys'!$G$64="","",'1 Setup &amp; Keys'!$H$64)</f>
        <v/>
      </c>
      <c r="C129" s="20" t="str">
        <f aca="false">IF('1 Setup &amp; Keys'!$G$64="","",IFERROR(AVERAGEIFS('6 Import DLP'!$G$5:$G$204,'6 Import DLP'!$B$5:$B$204,'1 Setup &amp; Keys'!$G$64),""))</f>
        <v/>
      </c>
      <c r="D129" s="19" t="str">
        <f aca="false">IF('1 Setup &amp; Keys'!$G$64="","",IFERROR(AVERAGEIFS('6 Import DLP'!$E$5:$E$204,'6 Import DLP'!$B$5:$B$204,'1 Setup &amp; Keys'!$G$64),""))</f>
        <v/>
      </c>
      <c r="E129" s="20" t="str">
        <f aca="false">IF('1 Setup &amp; Keys'!$G$64="","",COUNTIFS('6 Import DLP'!$B$5:$B$204,'1 Setup &amp; Keys'!$G$64))</f>
        <v/>
      </c>
    </row>
    <row r="130" customFormat="false" ht="15" hidden="false" customHeight="false" outlineLevel="0" collapsed="false">
      <c r="A130" s="7" t="str">
        <f aca="false">IF('1 Setup &amp; Keys'!$G$65="","",'1 Setup &amp; Keys'!$G$65)</f>
        <v/>
      </c>
      <c r="B130" s="7" t="str">
        <f aca="false">IF('1 Setup &amp; Keys'!$G$65="","",'1 Setup &amp; Keys'!$H$65)</f>
        <v/>
      </c>
      <c r="C130" s="20" t="str">
        <f aca="false">IF('1 Setup &amp; Keys'!$G$65="","",IFERROR(AVERAGEIFS('6 Import DLP'!$G$5:$G$204,'6 Import DLP'!$B$5:$B$204,'1 Setup &amp; Keys'!$G$65),""))</f>
        <v/>
      </c>
      <c r="D130" s="19" t="str">
        <f aca="false">IF('1 Setup &amp; Keys'!$G$65="","",IFERROR(AVERAGEIFS('6 Import DLP'!$E$5:$E$204,'6 Import DLP'!$B$5:$B$204,'1 Setup &amp; Keys'!$G$65),""))</f>
        <v/>
      </c>
      <c r="E130" s="20" t="str">
        <f aca="false">IF('1 Setup &amp; Keys'!$G$65="","",COUNTIFS('6 Import DLP'!$B$5:$B$204,'1 Setup &amp; Keys'!$G$65))</f>
        <v/>
      </c>
    </row>
    <row r="131" customFormat="false" ht="15" hidden="false" customHeight="false" outlineLevel="0" collapsed="false">
      <c r="A131" s="7" t="str">
        <f aca="false">IF('1 Setup &amp; Keys'!$G$66="","",'1 Setup &amp; Keys'!$G$66)</f>
        <v/>
      </c>
      <c r="B131" s="7" t="str">
        <f aca="false">IF('1 Setup &amp; Keys'!$G$66="","",'1 Setup &amp; Keys'!$H$66)</f>
        <v/>
      </c>
      <c r="C131" s="20" t="str">
        <f aca="false">IF('1 Setup &amp; Keys'!$G$66="","",IFERROR(AVERAGEIFS('6 Import DLP'!$G$5:$G$204,'6 Import DLP'!$B$5:$B$204,'1 Setup &amp; Keys'!$G$66),""))</f>
        <v/>
      </c>
      <c r="D131" s="19" t="str">
        <f aca="false">IF('1 Setup &amp; Keys'!$G$66="","",IFERROR(AVERAGEIFS('6 Import DLP'!$E$5:$E$204,'6 Import DLP'!$B$5:$B$204,'1 Setup &amp; Keys'!$G$66),""))</f>
        <v/>
      </c>
      <c r="E131" s="20" t="str">
        <f aca="false">IF('1 Setup &amp; Keys'!$G$66="","",COUNTIFS('6 Import DLP'!$B$5:$B$204,'1 Setup &amp; Keys'!$G$66))</f>
        <v/>
      </c>
    </row>
    <row r="132" customFormat="false" ht="15" hidden="false" customHeight="false" outlineLevel="0" collapsed="false">
      <c r="A132" s="7" t="str">
        <f aca="false">IF('1 Setup &amp; Keys'!$G$67="","",'1 Setup &amp; Keys'!$G$67)</f>
        <v/>
      </c>
      <c r="B132" s="7" t="str">
        <f aca="false">IF('1 Setup &amp; Keys'!$G$67="","",'1 Setup &amp; Keys'!$H$67)</f>
        <v/>
      </c>
      <c r="C132" s="20" t="str">
        <f aca="false">IF('1 Setup &amp; Keys'!$G$67="","",IFERROR(AVERAGEIFS('6 Import DLP'!$G$5:$G$204,'6 Import DLP'!$B$5:$B$204,'1 Setup &amp; Keys'!$G$67),""))</f>
        <v/>
      </c>
      <c r="D132" s="19" t="str">
        <f aca="false">IF('1 Setup &amp; Keys'!$G$67="","",IFERROR(AVERAGEIFS('6 Import DLP'!$E$5:$E$204,'6 Import DLP'!$B$5:$B$204,'1 Setup &amp; Keys'!$G$67),""))</f>
        <v/>
      </c>
      <c r="E132" s="20" t="str">
        <f aca="false">IF('1 Setup &amp; Keys'!$G$67="","",COUNTIFS('6 Import DLP'!$B$5:$B$204,'1 Setup &amp; Keys'!$G$67))</f>
        <v/>
      </c>
    </row>
    <row r="133" customFormat="false" ht="15" hidden="false" customHeight="false" outlineLevel="0" collapsed="false">
      <c r="A133" s="7" t="str">
        <f aca="false">IF('1 Setup &amp; Keys'!$G$68="","",'1 Setup &amp; Keys'!$G$68)</f>
        <v/>
      </c>
      <c r="B133" s="7" t="str">
        <f aca="false">IF('1 Setup &amp; Keys'!$G$68="","",'1 Setup &amp; Keys'!$H$68)</f>
        <v/>
      </c>
      <c r="C133" s="20" t="str">
        <f aca="false">IF('1 Setup &amp; Keys'!$G$68="","",IFERROR(AVERAGEIFS('6 Import DLP'!$G$5:$G$204,'6 Import DLP'!$B$5:$B$204,'1 Setup &amp; Keys'!$G$68),""))</f>
        <v/>
      </c>
      <c r="D133" s="19" t="str">
        <f aca="false">IF('1 Setup &amp; Keys'!$G$68="","",IFERROR(AVERAGEIFS('6 Import DLP'!$E$5:$E$204,'6 Import DLP'!$B$5:$B$204,'1 Setup &amp; Keys'!$G$68),""))</f>
        <v/>
      </c>
      <c r="E133" s="20" t="str">
        <f aca="false">IF('1 Setup &amp; Keys'!$G$68="","",COUNTIFS('6 Import DLP'!$B$5:$B$204,'1 Setup &amp; Keys'!$G$68))</f>
        <v/>
      </c>
    </row>
    <row r="134" customFormat="false" ht="15" hidden="false" customHeight="false" outlineLevel="0" collapsed="false">
      <c r="A134" s="7" t="str">
        <f aca="false">IF('1 Setup &amp; Keys'!$G$69="","",'1 Setup &amp; Keys'!$G$69)</f>
        <v/>
      </c>
      <c r="B134" s="7" t="str">
        <f aca="false">IF('1 Setup &amp; Keys'!$G$69="","",'1 Setup &amp; Keys'!$H$69)</f>
        <v/>
      </c>
      <c r="C134" s="20" t="str">
        <f aca="false">IF('1 Setup &amp; Keys'!$G$69="","",IFERROR(AVERAGEIFS('6 Import DLP'!$G$5:$G$204,'6 Import DLP'!$B$5:$B$204,'1 Setup &amp; Keys'!$G$69),""))</f>
        <v/>
      </c>
      <c r="D134" s="19" t="str">
        <f aca="false">IF('1 Setup &amp; Keys'!$G$69="","",IFERROR(AVERAGEIFS('6 Import DLP'!$E$5:$E$204,'6 Import DLP'!$B$5:$B$204,'1 Setup &amp; Keys'!$G$69),""))</f>
        <v/>
      </c>
      <c r="E134" s="20" t="str">
        <f aca="false">IF('1 Setup &amp; Keys'!$G$69="","",COUNTIFS('6 Import DLP'!$B$5:$B$204,'1 Setup &amp; Keys'!$G$69))</f>
        <v/>
      </c>
    </row>
    <row r="135" customFormat="false" ht="15" hidden="false" customHeight="false" outlineLevel="0" collapsed="false">
      <c r="A135" s="7" t="str">
        <f aca="false">IF('1 Setup &amp; Keys'!$G$70="","",'1 Setup &amp; Keys'!$G$70)</f>
        <v/>
      </c>
      <c r="B135" s="7" t="str">
        <f aca="false">IF('1 Setup &amp; Keys'!$G$70="","",'1 Setup &amp; Keys'!$H$70)</f>
        <v/>
      </c>
      <c r="C135" s="20" t="str">
        <f aca="false">IF('1 Setup &amp; Keys'!$G$70="","",IFERROR(AVERAGEIFS('6 Import DLP'!$G$5:$G$204,'6 Import DLP'!$B$5:$B$204,'1 Setup &amp; Keys'!$G$70),""))</f>
        <v/>
      </c>
      <c r="D135" s="19" t="str">
        <f aca="false">IF('1 Setup &amp; Keys'!$G$70="","",IFERROR(AVERAGEIFS('6 Import DLP'!$E$5:$E$204,'6 Import DLP'!$B$5:$B$204,'1 Setup &amp; Keys'!$G$70),""))</f>
        <v/>
      </c>
      <c r="E135" s="20" t="str">
        <f aca="false">IF('1 Setup &amp; Keys'!$G$70="","",COUNTIFS('6 Import DLP'!$B$5:$B$204,'1 Setup &amp; Keys'!$G$70))</f>
        <v/>
      </c>
    </row>
    <row r="136" customFormat="false" ht="15" hidden="false" customHeight="false" outlineLevel="0" collapsed="false">
      <c r="A136" s="7" t="str">
        <f aca="false">IF('1 Setup &amp; Keys'!$G$71="","",'1 Setup &amp; Keys'!$G$71)</f>
        <v/>
      </c>
      <c r="B136" s="7" t="str">
        <f aca="false">IF('1 Setup &amp; Keys'!$G$71="","",'1 Setup &amp; Keys'!$H$71)</f>
        <v/>
      </c>
      <c r="C136" s="20" t="str">
        <f aca="false">IF('1 Setup &amp; Keys'!$G$71="","",IFERROR(AVERAGEIFS('6 Import DLP'!$G$5:$G$204,'6 Import DLP'!$B$5:$B$204,'1 Setup &amp; Keys'!$G$71),""))</f>
        <v/>
      </c>
      <c r="D136" s="19" t="str">
        <f aca="false">IF('1 Setup &amp; Keys'!$G$71="","",IFERROR(AVERAGEIFS('6 Import DLP'!$E$5:$E$204,'6 Import DLP'!$B$5:$B$204,'1 Setup &amp; Keys'!$G$71),""))</f>
        <v/>
      </c>
      <c r="E136" s="20" t="str">
        <f aca="false">IF('1 Setup &amp; Keys'!$G$71="","",COUNTIFS('6 Import DLP'!$B$5:$B$204,'1 Setup &amp; Keys'!$G$71))</f>
        <v/>
      </c>
    </row>
    <row r="137" customFormat="false" ht="15" hidden="false" customHeight="false" outlineLevel="0" collapsed="false">
      <c r="A137" s="7" t="str">
        <f aca="false">IF('1 Setup &amp; Keys'!$G$72="","",'1 Setup &amp; Keys'!$G$72)</f>
        <v/>
      </c>
      <c r="B137" s="7" t="str">
        <f aca="false">IF('1 Setup &amp; Keys'!$G$72="","",'1 Setup &amp; Keys'!$H$72)</f>
        <v/>
      </c>
      <c r="C137" s="20" t="str">
        <f aca="false">IF('1 Setup &amp; Keys'!$G$72="","",IFERROR(AVERAGEIFS('6 Import DLP'!$G$5:$G$204,'6 Import DLP'!$B$5:$B$204,'1 Setup &amp; Keys'!$G$72),""))</f>
        <v/>
      </c>
      <c r="D137" s="19" t="str">
        <f aca="false">IF('1 Setup &amp; Keys'!$G$72="","",IFERROR(AVERAGEIFS('6 Import DLP'!$E$5:$E$204,'6 Import DLP'!$B$5:$B$204,'1 Setup &amp; Keys'!$G$72),""))</f>
        <v/>
      </c>
      <c r="E137" s="20" t="str">
        <f aca="false">IF('1 Setup &amp; Keys'!$G$72="","",COUNTIFS('6 Import DLP'!$B$5:$B$204,'1 Setup &amp; Keys'!$G$72))</f>
        <v/>
      </c>
    </row>
    <row r="138" customFormat="false" ht="15" hidden="false" customHeight="false" outlineLevel="0" collapsed="false">
      <c r="A138" s="7" t="str">
        <f aca="false">IF('1 Setup &amp; Keys'!$G$73="","",'1 Setup &amp; Keys'!$G$73)</f>
        <v/>
      </c>
      <c r="B138" s="7" t="str">
        <f aca="false">IF('1 Setup &amp; Keys'!$G$73="","",'1 Setup &amp; Keys'!$H$73)</f>
        <v/>
      </c>
      <c r="C138" s="20" t="str">
        <f aca="false">IF('1 Setup &amp; Keys'!$G$73="","",IFERROR(AVERAGEIFS('6 Import DLP'!$G$5:$G$204,'6 Import DLP'!$B$5:$B$204,'1 Setup &amp; Keys'!$G$73),""))</f>
        <v/>
      </c>
      <c r="D138" s="19" t="str">
        <f aca="false">IF('1 Setup &amp; Keys'!$G$73="","",IFERROR(AVERAGEIFS('6 Import DLP'!$E$5:$E$204,'6 Import DLP'!$B$5:$B$204,'1 Setup &amp; Keys'!$G$73),""))</f>
        <v/>
      </c>
      <c r="E138" s="20" t="str">
        <f aca="false">IF('1 Setup &amp; Keys'!$G$73="","",COUNTIFS('6 Import DLP'!$B$5:$B$204,'1 Setup &amp; Keys'!$G$73))</f>
        <v/>
      </c>
    </row>
    <row r="139" customFormat="false" ht="15" hidden="false" customHeight="false" outlineLevel="0" collapsed="false">
      <c r="A139" s="7" t="str">
        <f aca="false">IF('1 Setup &amp; Keys'!$G$74="","",'1 Setup &amp; Keys'!$G$74)</f>
        <v/>
      </c>
      <c r="B139" s="7" t="str">
        <f aca="false">IF('1 Setup &amp; Keys'!$G$74="","",'1 Setup &amp; Keys'!$H$74)</f>
        <v/>
      </c>
      <c r="C139" s="20" t="str">
        <f aca="false">IF('1 Setup &amp; Keys'!$G$74="","",IFERROR(AVERAGEIFS('6 Import DLP'!$G$5:$G$204,'6 Import DLP'!$B$5:$B$204,'1 Setup &amp; Keys'!$G$74),""))</f>
        <v/>
      </c>
      <c r="D139" s="19" t="str">
        <f aca="false">IF('1 Setup &amp; Keys'!$G$74="","",IFERROR(AVERAGEIFS('6 Import DLP'!$E$5:$E$204,'6 Import DLP'!$B$5:$B$204,'1 Setup &amp; Keys'!$G$74),""))</f>
        <v/>
      </c>
      <c r="E139" s="20" t="str">
        <f aca="false">IF('1 Setup &amp; Keys'!$G$74="","",COUNTIFS('6 Import DLP'!$B$5:$B$204,'1 Setup &amp; Keys'!$G$74))</f>
        <v/>
      </c>
    </row>
    <row r="140" customFormat="false" ht="15" hidden="false" customHeight="false" outlineLevel="0" collapsed="false">
      <c r="A140" s="7" t="str">
        <f aca="false">IF('1 Setup &amp; Keys'!$G$75="","",'1 Setup &amp; Keys'!$G$75)</f>
        <v/>
      </c>
      <c r="B140" s="7" t="str">
        <f aca="false">IF('1 Setup &amp; Keys'!$G$75="","",'1 Setup &amp; Keys'!$H$75)</f>
        <v/>
      </c>
      <c r="C140" s="20" t="str">
        <f aca="false">IF('1 Setup &amp; Keys'!$G$75="","",IFERROR(AVERAGEIFS('6 Import DLP'!$G$5:$G$204,'6 Import DLP'!$B$5:$B$204,'1 Setup &amp; Keys'!$G$75),""))</f>
        <v/>
      </c>
      <c r="D140" s="19" t="str">
        <f aca="false">IF('1 Setup &amp; Keys'!$G$75="","",IFERROR(AVERAGEIFS('6 Import DLP'!$E$5:$E$204,'6 Import DLP'!$B$5:$B$204,'1 Setup &amp; Keys'!$G$75),""))</f>
        <v/>
      </c>
      <c r="E140" s="20" t="str">
        <f aca="false">IF('1 Setup &amp; Keys'!$G$75="","",COUNTIFS('6 Import DLP'!$B$5:$B$204,'1 Setup &amp; Keys'!$G$75))</f>
        <v/>
      </c>
    </row>
    <row r="141" customFormat="false" ht="15" hidden="false" customHeight="false" outlineLevel="0" collapsed="false">
      <c r="A141" s="7" t="str">
        <f aca="false">IF('1 Setup &amp; Keys'!$G$76="","",'1 Setup &amp; Keys'!$G$76)</f>
        <v/>
      </c>
      <c r="B141" s="7" t="str">
        <f aca="false">IF('1 Setup &amp; Keys'!$G$76="","",'1 Setup &amp; Keys'!$H$76)</f>
        <v/>
      </c>
      <c r="C141" s="20" t="str">
        <f aca="false">IF('1 Setup &amp; Keys'!$G$76="","",IFERROR(AVERAGEIFS('6 Import DLP'!$G$5:$G$204,'6 Import DLP'!$B$5:$B$204,'1 Setup &amp; Keys'!$G$76),""))</f>
        <v/>
      </c>
      <c r="D141" s="19" t="str">
        <f aca="false">IF('1 Setup &amp; Keys'!$G$76="","",IFERROR(AVERAGEIFS('6 Import DLP'!$E$5:$E$204,'6 Import DLP'!$B$5:$B$204,'1 Setup &amp; Keys'!$G$76),""))</f>
        <v/>
      </c>
      <c r="E141" s="20" t="str">
        <f aca="false">IF('1 Setup &amp; Keys'!$G$76="","",COUNTIFS('6 Import DLP'!$B$5:$B$204,'1 Setup &amp; Keys'!$G$76))</f>
        <v/>
      </c>
    </row>
    <row r="142" customFormat="false" ht="15" hidden="false" customHeight="false" outlineLevel="0" collapsed="false">
      <c r="A142" s="7" t="str">
        <f aca="false">IF('1 Setup &amp; Keys'!$G$77="","",'1 Setup &amp; Keys'!$G$77)</f>
        <v/>
      </c>
      <c r="B142" s="7" t="str">
        <f aca="false">IF('1 Setup &amp; Keys'!$G$77="","",'1 Setup &amp; Keys'!$H$77)</f>
        <v/>
      </c>
      <c r="C142" s="20" t="str">
        <f aca="false">IF('1 Setup &amp; Keys'!$G$77="","",IFERROR(AVERAGEIFS('6 Import DLP'!$G$5:$G$204,'6 Import DLP'!$B$5:$B$204,'1 Setup &amp; Keys'!$G$77),""))</f>
        <v/>
      </c>
      <c r="D142" s="19" t="str">
        <f aca="false">IF('1 Setup &amp; Keys'!$G$77="","",IFERROR(AVERAGEIFS('6 Import DLP'!$E$5:$E$204,'6 Import DLP'!$B$5:$B$204,'1 Setup &amp; Keys'!$G$77),""))</f>
        <v/>
      </c>
      <c r="E142" s="20" t="str">
        <f aca="false">IF('1 Setup &amp; Keys'!$G$77="","",COUNTIFS('6 Import DLP'!$B$5:$B$204,'1 Setup &amp; Keys'!$G$77))</f>
        <v/>
      </c>
    </row>
    <row r="143" customFormat="false" ht="15" hidden="false" customHeight="false" outlineLevel="0" collapsed="false">
      <c r="A143" s="7" t="str">
        <f aca="false">IF('1 Setup &amp; Keys'!$G$78="","",'1 Setup &amp; Keys'!$G$78)</f>
        <v/>
      </c>
      <c r="B143" s="7" t="str">
        <f aca="false">IF('1 Setup &amp; Keys'!$G$78="","",'1 Setup &amp; Keys'!$H$78)</f>
        <v/>
      </c>
      <c r="C143" s="20" t="str">
        <f aca="false">IF('1 Setup &amp; Keys'!$G$78="","",IFERROR(AVERAGEIFS('6 Import DLP'!$G$5:$G$204,'6 Import DLP'!$B$5:$B$204,'1 Setup &amp; Keys'!$G$78),""))</f>
        <v/>
      </c>
      <c r="D143" s="19" t="str">
        <f aca="false">IF('1 Setup &amp; Keys'!$G$78="","",IFERROR(AVERAGEIFS('6 Import DLP'!$E$5:$E$204,'6 Import DLP'!$B$5:$B$204,'1 Setup &amp; Keys'!$G$78),""))</f>
        <v/>
      </c>
      <c r="E143" s="20" t="str">
        <f aca="false">IF('1 Setup &amp; Keys'!$G$78="","",COUNTIFS('6 Import DLP'!$B$5:$B$204,'1 Setup &amp; Keys'!$G$78))</f>
        <v/>
      </c>
    </row>
    <row r="144" customFormat="false" ht="15" hidden="false" customHeight="false" outlineLevel="0" collapsed="false">
      <c r="A144" s="7" t="str">
        <f aca="false">IF('1 Setup &amp; Keys'!$G$79="","",'1 Setup &amp; Keys'!$G$79)</f>
        <v/>
      </c>
      <c r="B144" s="7" t="str">
        <f aca="false">IF('1 Setup &amp; Keys'!$G$79="","",'1 Setup &amp; Keys'!$H$79)</f>
        <v/>
      </c>
      <c r="C144" s="20" t="str">
        <f aca="false">IF('1 Setup &amp; Keys'!$G$79="","",IFERROR(AVERAGEIFS('6 Import DLP'!$G$5:$G$204,'6 Import DLP'!$B$5:$B$204,'1 Setup &amp; Keys'!$G$79),""))</f>
        <v/>
      </c>
      <c r="D144" s="19" t="str">
        <f aca="false">IF('1 Setup &amp; Keys'!$G$79="","",IFERROR(AVERAGEIFS('6 Import DLP'!$E$5:$E$204,'6 Import DLP'!$B$5:$B$204,'1 Setup &amp; Keys'!$G$79),""))</f>
        <v/>
      </c>
      <c r="E144" s="20" t="str">
        <f aca="false">IF('1 Setup &amp; Keys'!$G$79="","",COUNTIFS('6 Import DLP'!$B$5:$B$204,'1 Setup &amp; Keys'!$G$79))</f>
        <v/>
      </c>
    </row>
    <row r="145" customFormat="false" ht="15" hidden="false" customHeight="false" outlineLevel="0" collapsed="false">
      <c r="A145" s="7" t="str">
        <f aca="false">IF('1 Setup &amp; Keys'!$G$80="","",'1 Setup &amp; Keys'!$G$80)</f>
        <v/>
      </c>
      <c r="B145" s="7" t="str">
        <f aca="false">IF('1 Setup &amp; Keys'!$G$80="","",'1 Setup &amp; Keys'!$H$80)</f>
        <v/>
      </c>
      <c r="C145" s="20" t="str">
        <f aca="false">IF('1 Setup &amp; Keys'!$G$80="","",IFERROR(AVERAGEIFS('6 Import DLP'!$G$5:$G$204,'6 Import DLP'!$B$5:$B$204,'1 Setup &amp; Keys'!$G$80),""))</f>
        <v/>
      </c>
      <c r="D145" s="19" t="str">
        <f aca="false">IF('1 Setup &amp; Keys'!$G$80="","",IFERROR(AVERAGEIFS('6 Import DLP'!$E$5:$E$204,'6 Import DLP'!$B$5:$B$204,'1 Setup &amp; Keys'!$G$80),""))</f>
        <v/>
      </c>
      <c r="E145" s="20" t="str">
        <f aca="false">IF('1 Setup &amp; Keys'!$G$80="","",COUNTIFS('6 Import DLP'!$B$5:$B$204,'1 Setup &amp; Keys'!$G$80))</f>
        <v/>
      </c>
    </row>
    <row r="146" customFormat="false" ht="15" hidden="false" customHeight="false" outlineLevel="0" collapsed="false">
      <c r="A146" s="7" t="str">
        <f aca="false">IF('1 Setup &amp; Keys'!$G$81="","",'1 Setup &amp; Keys'!$G$81)</f>
        <v/>
      </c>
      <c r="B146" s="7" t="str">
        <f aca="false">IF('1 Setup &amp; Keys'!$G$81="","",'1 Setup &amp; Keys'!$H$81)</f>
        <v/>
      </c>
      <c r="C146" s="20" t="str">
        <f aca="false">IF('1 Setup &amp; Keys'!$G$81="","",IFERROR(AVERAGEIFS('6 Import DLP'!$G$5:$G$204,'6 Import DLP'!$B$5:$B$204,'1 Setup &amp; Keys'!$G$81),""))</f>
        <v/>
      </c>
      <c r="D146" s="19" t="str">
        <f aca="false">IF('1 Setup &amp; Keys'!$G$81="","",IFERROR(AVERAGEIFS('6 Import DLP'!$E$5:$E$204,'6 Import DLP'!$B$5:$B$204,'1 Setup &amp; Keys'!$G$81),""))</f>
        <v/>
      </c>
      <c r="E146" s="20" t="str">
        <f aca="false">IF('1 Setup &amp; Keys'!$G$81="","",COUNTIFS('6 Import DLP'!$B$5:$B$204,'1 Setup &amp; Keys'!$G$81))</f>
        <v/>
      </c>
    </row>
    <row r="148" customFormat="false" ht="23.85" hidden="false" customHeight="false" outlineLevel="0" collapsed="false">
      <c r="A148" s="14" t="s">
        <v>314</v>
      </c>
      <c r="B148" s="29" t="str">
        <f aca="false">IF('1 Setup &amp; Keys'!$B$24="","",IFERROR(SUM('6 Import DLP'!$H$5:$H$204)/'1 Setup &amp; Keys'!$B$24,""))</f>
        <v/>
      </c>
    </row>
    <row r="149" customFormat="false" ht="15" hidden="false" customHeight="false" outlineLevel="0" collapsed="false">
      <c r="A149" s="6" t="str">
        <f aca="false">IF($B148="","",IF($B148&lt;Reference!$B$9,"LOW DLP response","ok"))</f>
        <v/>
      </c>
      <c r="B149" s="6"/>
      <c r="C149" s="6"/>
      <c r="D149" s="6"/>
    </row>
  </sheetData>
  <sheetProtection sheet="true" formatCells="false" formatColumns="false" formatRows="false"/>
  <mergeCells count="18">
    <mergeCell ref="A1:H1"/>
    <mergeCell ref="A2:H2"/>
    <mergeCell ref="A4:H4"/>
    <mergeCell ref="A19:H19"/>
    <mergeCell ref="A37:D37"/>
    <mergeCell ref="A40:H40"/>
    <mergeCell ref="A41:H41"/>
    <mergeCell ref="A50:H50"/>
    <mergeCell ref="A64:D64"/>
    <mergeCell ref="A67:H67"/>
    <mergeCell ref="B76:F76"/>
    <mergeCell ref="A79:H79"/>
    <mergeCell ref="A81:D81"/>
    <mergeCell ref="A84:H84"/>
    <mergeCell ref="A85:H85"/>
    <mergeCell ref="A94:H94"/>
    <mergeCell ref="A95:H95"/>
    <mergeCell ref="A149:D1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40"/>
  </cols>
  <sheetData>
    <row r="1" customFormat="false" ht="25.5" hidden="false" customHeight="true" outlineLevel="0" collapsed="false">
      <c r="A1" s="1" t="s">
        <v>315</v>
      </c>
      <c r="B1" s="1"/>
      <c r="C1" s="1"/>
      <c r="D1" s="1"/>
    </row>
    <row r="2" customFormat="false" ht="13.5" hidden="false" customHeight="true" outlineLevel="0" collapsed="false">
      <c r="A2" s="2" t="s">
        <v>316</v>
      </c>
      <c r="B2" s="2"/>
      <c r="C2" s="2"/>
      <c r="D2" s="2"/>
    </row>
    <row r="4" customFormat="false" ht="15" hidden="false" customHeight="false" outlineLevel="0" collapsed="false">
      <c r="A4" s="15" t="s">
        <v>176</v>
      </c>
      <c r="B4" s="15" t="s">
        <v>317</v>
      </c>
      <c r="C4" s="15" t="s">
        <v>318</v>
      </c>
    </row>
    <row r="5" customFormat="false" ht="15" hidden="false" customHeight="false" outlineLevel="0" collapsed="false">
      <c r="A5" s="14" t="s">
        <v>319</v>
      </c>
      <c r="B5" s="31"/>
      <c r="C5" s="12"/>
    </row>
    <row r="6" customFormat="false" ht="15" hidden="false" customHeight="false" outlineLevel="0" collapsed="false">
      <c r="A6" s="14" t="s">
        <v>320</v>
      </c>
      <c r="B6" s="31"/>
      <c r="C6" s="12"/>
    </row>
    <row r="7" customFormat="false" ht="15" hidden="false" customHeight="false" outlineLevel="0" collapsed="false">
      <c r="A7" s="14" t="s">
        <v>321</v>
      </c>
      <c r="B7" s="31"/>
      <c r="C7" s="12"/>
    </row>
    <row r="8" customFormat="false" ht="15" hidden="false" customHeight="false" outlineLevel="0" collapsed="false">
      <c r="A8" s="14" t="s">
        <v>322</v>
      </c>
      <c r="B8" s="31"/>
      <c r="C8" s="12"/>
    </row>
    <row r="9" customFormat="false" ht="15" hidden="false" customHeight="false" outlineLevel="0" collapsed="false">
      <c r="A9" s="14" t="s">
        <v>323</v>
      </c>
      <c r="B9" s="31"/>
      <c r="C9" s="12"/>
    </row>
  </sheetData>
  <sheetProtection sheet="true" formatCells="false" formatColumns="false" formatRows="false"/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  <col collapsed="false" customWidth="true" hidden="false" outlineLevel="0" max="4" min="4" style="0" width="4"/>
  </cols>
  <sheetData>
    <row r="1" customFormat="false" ht="25.5" hidden="false" customHeight="true" outlineLevel="0" collapsed="false">
      <c r="A1" s="1" t="s">
        <v>324</v>
      </c>
      <c r="B1" s="1"/>
      <c r="C1" s="1"/>
      <c r="D1" s="1"/>
    </row>
    <row r="2" customFormat="false" ht="13.5" hidden="false" customHeight="true" outlineLevel="0" collapsed="false">
      <c r="A2" s="2" t="s">
        <v>325</v>
      </c>
      <c r="B2" s="2"/>
      <c r="C2" s="2"/>
      <c r="D2" s="2"/>
    </row>
    <row r="4" customFormat="false" ht="15" hidden="false" customHeight="false" outlineLevel="0" collapsed="false">
      <c r="A4" s="15" t="s">
        <v>326</v>
      </c>
      <c r="B4" s="15" t="s">
        <v>317</v>
      </c>
      <c r="C4" s="15" t="s">
        <v>327</v>
      </c>
      <c r="D4" s="15"/>
    </row>
    <row r="5" customFormat="false" ht="15" hidden="false" customHeight="true" outlineLevel="0" collapsed="false">
      <c r="A5" s="10" t="s">
        <v>328</v>
      </c>
      <c r="B5" s="10"/>
      <c r="C5" s="10"/>
      <c r="D5" s="10"/>
    </row>
    <row r="6" customFormat="false" ht="15" hidden="false" customHeight="false" outlineLevel="0" collapsed="false">
      <c r="A6" s="14" t="s">
        <v>329</v>
      </c>
      <c r="B6" s="25" t="str">
        <f aca="false">'9 Type C Scoring'!$B$65</f>
        <v/>
      </c>
      <c r="C6" s="32" t="s">
        <v>330</v>
      </c>
    </row>
    <row r="7" customFormat="false" ht="15" hidden="false" customHeight="false" outlineLevel="0" collapsed="false">
      <c r="A7" s="14" t="s">
        <v>331</v>
      </c>
      <c r="C7" s="32" t="s">
        <v>332</v>
      </c>
    </row>
    <row r="8" customFormat="false" ht="15" hidden="false" customHeight="false" outlineLevel="0" collapsed="false">
      <c r="A8" s="7" t="str">
        <f aca="false">IF('9 Type C Scoring'!$A$87="","","  "&amp;'9 Type C Scoring'!$A$87)</f>
        <v/>
      </c>
      <c r="B8" s="25" t="str">
        <f aca="false">'9 Type C Scoring'!$F$87</f>
        <v/>
      </c>
      <c r="C8" s="7" t="str">
        <f aca="false">IF('9 Type C Scoring'!$A$87="","","crit "&amp;'9 Type C Scoring'!$E$87&amp;" / cov "&amp;TEXT('9 Type C Scoring'!$G$87,"0%"))</f>
        <v/>
      </c>
    </row>
    <row r="9" customFormat="false" ht="15" hidden="false" customHeight="false" outlineLevel="0" collapsed="false">
      <c r="A9" s="7" t="str">
        <f aca="false">IF('9 Type C Scoring'!$A$88="","","  "&amp;'9 Type C Scoring'!$A$88)</f>
        <v/>
      </c>
      <c r="B9" s="25" t="str">
        <f aca="false">'9 Type C Scoring'!$F$88</f>
        <v/>
      </c>
      <c r="C9" s="7" t="str">
        <f aca="false">IF('9 Type C Scoring'!$A$88="","","crit "&amp;'9 Type C Scoring'!$E$88&amp;" / cov "&amp;TEXT('9 Type C Scoring'!$G$88,"0%"))</f>
        <v/>
      </c>
    </row>
    <row r="10" customFormat="false" ht="15" hidden="false" customHeight="false" outlineLevel="0" collapsed="false">
      <c r="A10" s="7" t="str">
        <f aca="false">IF('9 Type C Scoring'!$A$89="","","  "&amp;'9 Type C Scoring'!$A$89)</f>
        <v/>
      </c>
      <c r="B10" s="25" t="str">
        <f aca="false">'9 Type C Scoring'!$F$89</f>
        <v/>
      </c>
      <c r="C10" s="7" t="str">
        <f aca="false">IF('9 Type C Scoring'!$A$89="","","crit "&amp;'9 Type C Scoring'!$E$89&amp;" / cov "&amp;TEXT('9 Type C Scoring'!$G$89,"0%"))</f>
        <v/>
      </c>
    </row>
    <row r="11" customFormat="false" ht="15" hidden="false" customHeight="false" outlineLevel="0" collapsed="false">
      <c r="A11" s="7" t="str">
        <f aca="false">IF('9 Type C Scoring'!$A$90="","","  "&amp;'9 Type C Scoring'!$A$90)</f>
        <v/>
      </c>
      <c r="B11" s="25" t="str">
        <f aca="false">'9 Type C Scoring'!$F$90</f>
        <v/>
      </c>
      <c r="C11" s="7" t="str">
        <f aca="false">IF('9 Type C Scoring'!$A$90="","","crit "&amp;'9 Type C Scoring'!$E$90&amp;" / cov "&amp;TEXT('9 Type C Scoring'!$G$90,"0%"))</f>
        <v/>
      </c>
    </row>
    <row r="12" customFormat="false" ht="15" hidden="false" customHeight="false" outlineLevel="0" collapsed="false">
      <c r="A12" s="7" t="str">
        <f aca="false">IF('9 Type C Scoring'!$A$91="","","  "&amp;'9 Type C Scoring'!$A$91)</f>
        <v/>
      </c>
      <c r="B12" s="25" t="str">
        <f aca="false">'9 Type C Scoring'!$F$91</f>
        <v/>
      </c>
      <c r="C12" s="7" t="str">
        <f aca="false">IF('9 Type C Scoring'!$A$91="","","crit "&amp;'9 Type C Scoring'!$E$91&amp;" / cov "&amp;TEXT('9 Type C Scoring'!$G$91,"0%"))</f>
        <v/>
      </c>
    </row>
    <row r="13" customFormat="false" ht="15" hidden="false" customHeight="false" outlineLevel="0" collapsed="false">
      <c r="A13" s="7" t="str">
        <f aca="false">IF('9 Type C Scoring'!$A$92="","","  "&amp;'9 Type C Scoring'!$A$92)</f>
        <v/>
      </c>
      <c r="B13" s="25" t="str">
        <f aca="false">'9 Type C Scoring'!$F$92</f>
        <v/>
      </c>
      <c r="C13" s="7" t="str">
        <f aca="false">IF('9 Type C Scoring'!$A$92="","","crit "&amp;'9 Type C Scoring'!$E$92&amp;" / cov "&amp;TEXT('9 Type C Scoring'!$G$92,"0%"))</f>
        <v/>
      </c>
    </row>
    <row r="14" customFormat="false" ht="15" hidden="false" customHeight="false" outlineLevel="0" collapsed="false">
      <c r="A14" s="14" t="s">
        <v>333</v>
      </c>
    </row>
    <row r="15" customFormat="false" ht="15" hidden="false" customHeight="false" outlineLevel="0" collapsed="false">
      <c r="A15" s="14" t="s">
        <v>334</v>
      </c>
      <c r="B15" s="25" t="n">
        <f aca="false">'9 Type C Scoring'!$F$69</f>
        <v>0</v>
      </c>
      <c r="C15" s="32" t="s">
        <v>335</v>
      </c>
    </row>
    <row r="16" customFormat="false" ht="15" hidden="false" customHeight="false" outlineLevel="0" collapsed="false">
      <c r="A16" s="14" t="s">
        <v>336</v>
      </c>
      <c r="B16" s="25" t="n">
        <f aca="false">'9 Type C Scoring'!$F$70</f>
        <v>0</v>
      </c>
      <c r="C16" s="32" t="s">
        <v>335</v>
      </c>
    </row>
    <row r="17" customFormat="false" ht="15" hidden="false" customHeight="false" outlineLevel="0" collapsed="false">
      <c r="A17" s="14" t="s">
        <v>337</v>
      </c>
      <c r="B17" s="25" t="n">
        <f aca="false">'9 Type C Scoring'!$F$71</f>
        <v>0</v>
      </c>
      <c r="C17" s="32" t="s">
        <v>335</v>
      </c>
    </row>
    <row r="18" customFormat="false" ht="15" hidden="false" customHeight="false" outlineLevel="0" collapsed="false">
      <c r="A18" s="14" t="s">
        <v>338</v>
      </c>
      <c r="B18" s="25" t="n">
        <f aca="false">'9 Type C Scoring'!$F$72</f>
        <v>0</v>
      </c>
      <c r="C18" s="32" t="s">
        <v>335</v>
      </c>
    </row>
    <row r="19" customFormat="false" ht="15" hidden="false" customHeight="false" outlineLevel="0" collapsed="false">
      <c r="A19" s="14" t="s">
        <v>339</v>
      </c>
      <c r="B19" s="25" t="n">
        <f aca="false">'9 Type C Scoring'!$F$73</f>
        <v>0</v>
      </c>
      <c r="C19" s="32" t="s">
        <v>335</v>
      </c>
    </row>
    <row r="20" customFormat="false" ht="15" hidden="false" customHeight="false" outlineLevel="0" collapsed="false">
      <c r="A20" s="14" t="s">
        <v>340</v>
      </c>
      <c r="B20" s="25" t="str">
        <f aca="false">'9 Type C Scoring'!$B$82</f>
        <v/>
      </c>
      <c r="C20" s="32" t="s">
        <v>330</v>
      </c>
    </row>
    <row r="21" customFormat="false" ht="23.85" hidden="false" customHeight="false" outlineLevel="0" collapsed="false">
      <c r="A21" s="14" t="s">
        <v>341</v>
      </c>
      <c r="C21" s="32" t="s">
        <v>342</v>
      </c>
    </row>
    <row r="22" customFormat="false" ht="15" hidden="false" customHeight="true" outlineLevel="0" collapsed="false">
      <c r="A22" s="10" t="s">
        <v>343</v>
      </c>
      <c r="B22" s="10"/>
      <c r="C22" s="10"/>
      <c r="D22" s="10"/>
    </row>
    <row r="23" customFormat="false" ht="15" hidden="false" customHeight="false" outlineLevel="0" collapsed="false">
      <c r="A23" s="14" t="s">
        <v>59</v>
      </c>
      <c r="B23" s="25" t="str">
        <f aca="false">'8 Type A Means'!$C$20</f>
        <v/>
      </c>
      <c r="C23" s="32" t="s">
        <v>344</v>
      </c>
    </row>
    <row r="24" customFormat="false" ht="15" hidden="false" customHeight="false" outlineLevel="0" collapsed="false">
      <c r="A24" s="14" t="s">
        <v>60</v>
      </c>
      <c r="B24" s="25" t="str">
        <f aca="false">'8 Type A Means'!$C$21</f>
        <v/>
      </c>
      <c r="C24" s="32" t="s">
        <v>344</v>
      </c>
    </row>
    <row r="25" customFormat="false" ht="15" hidden="false" customHeight="false" outlineLevel="0" collapsed="false">
      <c r="A25" s="14" t="s">
        <v>61</v>
      </c>
      <c r="B25" s="25" t="str">
        <f aca="false">'8 Type A Means'!$C$22</f>
        <v/>
      </c>
      <c r="C25" s="32" t="s">
        <v>344</v>
      </c>
    </row>
    <row r="26" customFormat="false" ht="15" hidden="false" customHeight="false" outlineLevel="0" collapsed="false">
      <c r="A26" s="14" t="s">
        <v>62</v>
      </c>
      <c r="B26" s="25" t="str">
        <f aca="false">'8 Type A Means'!$C$23</f>
        <v/>
      </c>
      <c r="C26" s="32" t="s">
        <v>344</v>
      </c>
    </row>
    <row r="27" customFormat="false" ht="15" hidden="false" customHeight="false" outlineLevel="0" collapsed="false">
      <c r="A27" s="14" t="s">
        <v>63</v>
      </c>
      <c r="B27" s="25" t="str">
        <f aca="false">'8 Type A Means'!$C$24</f>
        <v/>
      </c>
      <c r="C27" s="32" t="s">
        <v>344</v>
      </c>
    </row>
    <row r="28" customFormat="false" ht="15" hidden="false" customHeight="false" outlineLevel="0" collapsed="false">
      <c r="A28" s="14" t="s">
        <v>64</v>
      </c>
      <c r="B28" s="25" t="str">
        <f aca="false">'8 Type A Means'!$C$25</f>
        <v/>
      </c>
      <c r="C28" s="32" t="s">
        <v>344</v>
      </c>
    </row>
    <row r="29" customFormat="false" ht="15" hidden="false" customHeight="false" outlineLevel="0" collapsed="false">
      <c r="A29" s="14" t="s">
        <v>65</v>
      </c>
      <c r="B29" s="25" t="str">
        <f aca="false">'8 Type A Means'!$C$26</f>
        <v/>
      </c>
      <c r="C29" s="32" t="s">
        <v>344</v>
      </c>
    </row>
    <row r="30" customFormat="false" ht="15" hidden="false" customHeight="false" outlineLevel="0" collapsed="false">
      <c r="A30" s="14" t="s">
        <v>66</v>
      </c>
      <c r="B30" s="25" t="str">
        <f aca="false">'8 Type A Means'!$C$27</f>
        <v/>
      </c>
      <c r="C30" s="32" t="s">
        <v>344</v>
      </c>
    </row>
    <row r="31" customFormat="false" ht="15" hidden="false" customHeight="false" outlineLevel="0" collapsed="false">
      <c r="A31" s="14" t="s">
        <v>67</v>
      </c>
      <c r="B31" s="25" t="str">
        <f aca="false">'8 Type A Means'!$C$28</f>
        <v/>
      </c>
      <c r="C31" s="32" t="s">
        <v>344</v>
      </c>
    </row>
    <row r="32" customFormat="false" ht="15" hidden="false" customHeight="false" outlineLevel="0" collapsed="false">
      <c r="A32" s="14" t="s">
        <v>68</v>
      </c>
      <c r="B32" s="25" t="str">
        <f aca="false">'8 Type A Means'!$C$29</f>
        <v/>
      </c>
      <c r="C32" s="32" t="s">
        <v>344</v>
      </c>
    </row>
    <row r="33" customFormat="false" ht="15" hidden="false" customHeight="false" outlineLevel="0" collapsed="false">
      <c r="A33" s="14" t="s">
        <v>69</v>
      </c>
      <c r="B33" s="25" t="str">
        <f aca="false">'8 Type A Means'!$C$30</f>
        <v/>
      </c>
      <c r="C33" s="32" t="s">
        <v>344</v>
      </c>
    </row>
    <row r="34" customFormat="false" ht="15" hidden="false" customHeight="false" outlineLevel="0" collapsed="false">
      <c r="A34" s="14" t="s">
        <v>70</v>
      </c>
      <c r="B34" s="25" t="str">
        <f aca="false">'8 Type A Means'!$C$31</f>
        <v/>
      </c>
      <c r="C34" s="32" t="s">
        <v>344</v>
      </c>
    </row>
    <row r="35" customFormat="false" ht="15" hidden="false" customHeight="false" outlineLevel="0" collapsed="false">
      <c r="A35" s="14" t="s">
        <v>71</v>
      </c>
      <c r="B35" s="25" t="str">
        <f aca="false">'8 Type A Means'!$C$32</f>
        <v/>
      </c>
      <c r="C35" s="32" t="s">
        <v>344</v>
      </c>
    </row>
    <row r="36" customFormat="false" ht="15" hidden="false" customHeight="false" outlineLevel="0" collapsed="false">
      <c r="A36" s="14" t="s">
        <v>72</v>
      </c>
      <c r="B36" s="25" t="str">
        <f aca="false">'8 Type A Means'!$C$33</f>
        <v/>
      </c>
      <c r="C36" s="32" t="s">
        <v>344</v>
      </c>
    </row>
    <row r="37" customFormat="false" ht="15" hidden="false" customHeight="false" outlineLevel="0" collapsed="false">
      <c r="A37" s="14" t="s">
        <v>73</v>
      </c>
      <c r="B37" s="25" t="str">
        <f aca="false">'8 Type A Means'!$C$34</f>
        <v/>
      </c>
      <c r="C37" s="32" t="s">
        <v>344</v>
      </c>
    </row>
    <row r="38" customFormat="false" ht="15" hidden="false" customHeight="false" outlineLevel="0" collapsed="false">
      <c r="A38" s="14" t="s">
        <v>74</v>
      </c>
      <c r="B38" s="25" t="str">
        <f aca="false">'8 Type A Means'!$C$35</f>
        <v/>
      </c>
      <c r="C38" s="32" t="s">
        <v>344</v>
      </c>
    </row>
    <row r="39" customFormat="false" ht="15" hidden="false" customHeight="false" outlineLevel="0" collapsed="false">
      <c r="A39" s="14" t="s">
        <v>75</v>
      </c>
      <c r="B39" s="25" t="str">
        <f aca="false">'8 Type A Means'!$C$36</f>
        <v/>
      </c>
      <c r="C39" s="32" t="s">
        <v>344</v>
      </c>
    </row>
    <row r="40" customFormat="false" ht="15" hidden="false" customHeight="false" outlineLevel="0" collapsed="false">
      <c r="A40" s="14" t="s">
        <v>76</v>
      </c>
      <c r="B40" s="25" t="str">
        <f aca="false">'8 Type A Means'!$C$37</f>
        <v/>
      </c>
      <c r="C40" s="32" t="s">
        <v>344</v>
      </c>
    </row>
    <row r="41" customFormat="false" ht="15" hidden="false" customHeight="false" outlineLevel="0" collapsed="false">
      <c r="A41" s="14" t="s">
        <v>77</v>
      </c>
      <c r="B41" s="25" t="str">
        <f aca="false">'8 Type A Means'!$C$38</f>
        <v/>
      </c>
      <c r="C41" s="32" t="s">
        <v>344</v>
      </c>
    </row>
    <row r="42" customFormat="false" ht="15" hidden="false" customHeight="false" outlineLevel="0" collapsed="false">
      <c r="A42" s="14" t="s">
        <v>78</v>
      </c>
      <c r="B42" s="25" t="str">
        <f aca="false">'8 Type A Means'!$C$39</f>
        <v/>
      </c>
      <c r="C42" s="32" t="s">
        <v>344</v>
      </c>
    </row>
    <row r="43" customFormat="false" ht="15" hidden="false" customHeight="false" outlineLevel="0" collapsed="false">
      <c r="A43" s="14" t="s">
        <v>79</v>
      </c>
      <c r="B43" s="25" t="str">
        <f aca="false">'8 Type A Means'!$C$40</f>
        <v/>
      </c>
      <c r="C43" s="32" t="s">
        <v>344</v>
      </c>
    </row>
    <row r="44" customFormat="false" ht="15" hidden="false" customHeight="false" outlineLevel="0" collapsed="false">
      <c r="A44" s="14" t="s">
        <v>80</v>
      </c>
      <c r="B44" s="25" t="str">
        <f aca="false">'8 Type A Means'!$C$41</f>
        <v/>
      </c>
      <c r="C44" s="32" t="s">
        <v>344</v>
      </c>
    </row>
    <row r="45" customFormat="false" ht="15" hidden="false" customHeight="false" outlineLevel="0" collapsed="false">
      <c r="A45" s="14" t="s">
        <v>81</v>
      </c>
      <c r="B45" s="25" t="str">
        <f aca="false">'8 Type A Means'!$C$42</f>
        <v/>
      </c>
      <c r="C45" s="32" t="s">
        <v>344</v>
      </c>
    </row>
    <row r="46" customFormat="false" ht="15" hidden="false" customHeight="false" outlineLevel="0" collapsed="false">
      <c r="A46" s="14" t="s">
        <v>82</v>
      </c>
      <c r="B46" s="25" t="str">
        <f aca="false">'8 Type A Means'!$C$43</f>
        <v/>
      </c>
      <c r="C46" s="32" t="s">
        <v>344</v>
      </c>
    </row>
    <row r="47" customFormat="false" ht="15" hidden="false" customHeight="false" outlineLevel="0" collapsed="false">
      <c r="A47" s="14" t="s">
        <v>83</v>
      </c>
      <c r="B47" s="25" t="str">
        <f aca="false">'8 Type A Means'!$C$44</f>
        <v/>
      </c>
      <c r="C47" s="32" t="s">
        <v>344</v>
      </c>
    </row>
    <row r="48" customFormat="false" ht="15" hidden="false" customHeight="true" outlineLevel="0" collapsed="false">
      <c r="A48" s="10" t="s">
        <v>345</v>
      </c>
      <c r="B48" s="10"/>
      <c r="C48" s="10"/>
      <c r="D48" s="10"/>
    </row>
    <row r="49" customFormat="false" ht="15" hidden="false" customHeight="false" outlineLevel="0" collapsed="false">
      <c r="A49" s="14" t="s">
        <v>84</v>
      </c>
      <c r="B49" s="25" t="str">
        <f aca="false">'8 Type A Means'!$C$45</f>
        <v/>
      </c>
      <c r="C49" s="32" t="s">
        <v>344</v>
      </c>
    </row>
    <row r="50" customFormat="false" ht="15" hidden="false" customHeight="false" outlineLevel="0" collapsed="false">
      <c r="A50" s="14" t="s">
        <v>85</v>
      </c>
      <c r="B50" s="25" t="str">
        <f aca="false">'8 Type A Means'!$C$46</f>
        <v/>
      </c>
      <c r="C50" s="32" t="s">
        <v>344</v>
      </c>
    </row>
    <row r="51" customFormat="false" ht="15" hidden="false" customHeight="false" outlineLevel="0" collapsed="false">
      <c r="A51" s="14" t="s">
        <v>86</v>
      </c>
      <c r="B51" s="25" t="str">
        <f aca="false">'8 Type A Means'!$C$47</f>
        <v/>
      </c>
      <c r="C51" s="32" t="s">
        <v>344</v>
      </c>
    </row>
    <row r="52" customFormat="false" ht="15" hidden="false" customHeight="false" outlineLevel="0" collapsed="false">
      <c r="A52" s="14" t="s">
        <v>87</v>
      </c>
      <c r="B52" s="25" t="str">
        <f aca="false">'8 Type A Means'!$C$48</f>
        <v/>
      </c>
      <c r="C52" s="32" t="s">
        <v>344</v>
      </c>
    </row>
    <row r="53" customFormat="false" ht="15" hidden="false" customHeight="false" outlineLevel="0" collapsed="false">
      <c r="A53" s="14" t="s">
        <v>88</v>
      </c>
      <c r="B53" s="25" t="str">
        <f aca="false">'8 Type A Means'!$C$49</f>
        <v/>
      </c>
      <c r="C53" s="32" t="s">
        <v>344</v>
      </c>
    </row>
    <row r="54" customFormat="false" ht="15" hidden="false" customHeight="false" outlineLevel="0" collapsed="false">
      <c r="A54" s="14" t="s">
        <v>89</v>
      </c>
      <c r="B54" s="25" t="str">
        <f aca="false">'8 Type A Means'!$C$50</f>
        <v/>
      </c>
      <c r="C54" s="32" t="s">
        <v>344</v>
      </c>
    </row>
    <row r="55" customFormat="false" ht="15" hidden="false" customHeight="false" outlineLevel="0" collapsed="false">
      <c r="A55" s="14" t="s">
        <v>90</v>
      </c>
      <c r="B55" s="25" t="str">
        <f aca="false">'8 Type A Means'!$C$51</f>
        <v/>
      </c>
      <c r="C55" s="32" t="s">
        <v>344</v>
      </c>
    </row>
    <row r="56" customFormat="false" ht="15" hidden="false" customHeight="false" outlineLevel="0" collapsed="false">
      <c r="A56" s="14" t="s">
        <v>91</v>
      </c>
      <c r="B56" s="25" t="str">
        <f aca="false">'8 Type A Means'!$C$52</f>
        <v/>
      </c>
      <c r="C56" s="32" t="s">
        <v>344</v>
      </c>
    </row>
    <row r="57" customFormat="false" ht="15" hidden="false" customHeight="false" outlineLevel="0" collapsed="false">
      <c r="A57" s="14" t="s">
        <v>346</v>
      </c>
      <c r="B57" s="25" t="str">
        <f aca="false">'9 Type C Scoring'!$B$38</f>
        <v/>
      </c>
      <c r="C57" s="32" t="s">
        <v>330</v>
      </c>
    </row>
    <row r="58" customFormat="false" ht="15" hidden="false" customHeight="false" outlineLevel="0" collapsed="false">
      <c r="A58" s="14" t="s">
        <v>347</v>
      </c>
      <c r="B58" s="25" t="str">
        <f aca="false">'9 Type C Scoring'!$B$43</f>
        <v/>
      </c>
      <c r="C58" s="32" t="s">
        <v>330</v>
      </c>
    </row>
    <row r="59" customFormat="false" ht="15" hidden="false" customHeight="false" outlineLevel="0" collapsed="false">
      <c r="A59" s="14" t="s">
        <v>348</v>
      </c>
      <c r="B59" s="25" t="n">
        <f aca="false">'10 Layer 2'!$B$5</f>
        <v>0</v>
      </c>
      <c r="C59" s="32" t="s">
        <v>349</v>
      </c>
    </row>
    <row r="60" customFormat="false" ht="15" hidden="false" customHeight="false" outlineLevel="0" collapsed="false">
      <c r="A60" s="14" t="s">
        <v>92</v>
      </c>
      <c r="B60" s="25" t="str">
        <f aca="false">'8 Type A Means'!$C$53</f>
        <v/>
      </c>
      <c r="C60" s="32" t="s">
        <v>344</v>
      </c>
    </row>
    <row r="61" customFormat="false" ht="15" hidden="false" customHeight="false" outlineLevel="0" collapsed="false">
      <c r="A61" s="14" t="s">
        <v>93</v>
      </c>
      <c r="B61" s="25" t="str">
        <f aca="false">'8 Type A Means'!$C$54</f>
        <v/>
      </c>
      <c r="C61" s="32" t="s">
        <v>344</v>
      </c>
    </row>
    <row r="62" customFormat="false" ht="15" hidden="false" customHeight="false" outlineLevel="0" collapsed="false">
      <c r="A62" s="14" t="s">
        <v>94</v>
      </c>
      <c r="B62" s="25" t="str">
        <f aca="false">'8 Type A Means'!$C$55</f>
        <v/>
      </c>
      <c r="C62" s="32" t="s">
        <v>344</v>
      </c>
    </row>
    <row r="63" customFormat="false" ht="15" hidden="false" customHeight="false" outlineLevel="0" collapsed="false">
      <c r="A63" s="14" t="s">
        <v>95</v>
      </c>
      <c r="B63" s="25" t="str">
        <f aca="false">'8 Type A Means'!$C$56</f>
        <v/>
      </c>
      <c r="C63" s="32" t="s">
        <v>344</v>
      </c>
    </row>
    <row r="64" customFormat="false" ht="15" hidden="false" customHeight="false" outlineLevel="0" collapsed="false">
      <c r="A64" s="14" t="s">
        <v>350</v>
      </c>
      <c r="B64" s="25" t="str">
        <f aca="false">'9 Type C Scoring'!$B$44</f>
        <v/>
      </c>
      <c r="C64" s="32" t="s">
        <v>330</v>
      </c>
    </row>
    <row r="65" customFormat="false" ht="15" hidden="false" customHeight="false" outlineLevel="0" collapsed="false">
      <c r="A65" s="14" t="s">
        <v>351</v>
      </c>
      <c r="B65" s="25" t="n">
        <f aca="false">'10 Layer 2'!$B$6</f>
        <v>0</v>
      </c>
      <c r="C65" s="32" t="s">
        <v>349</v>
      </c>
    </row>
    <row r="66" customFormat="false" ht="15" hidden="false" customHeight="false" outlineLevel="0" collapsed="false">
      <c r="A66" s="14" t="s">
        <v>352</v>
      </c>
      <c r="B66" s="25" t="n">
        <f aca="false">'10 Layer 2'!$B$7</f>
        <v>0</v>
      </c>
      <c r="C66" s="32" t="s">
        <v>349</v>
      </c>
    </row>
    <row r="67" customFormat="false" ht="15" hidden="false" customHeight="false" outlineLevel="0" collapsed="false">
      <c r="A67" s="14" t="s">
        <v>96</v>
      </c>
      <c r="B67" s="25" t="str">
        <f aca="false">'8 Type A Means'!$C$57</f>
        <v/>
      </c>
      <c r="C67" s="32" t="s">
        <v>344</v>
      </c>
    </row>
    <row r="68" customFormat="false" ht="15" hidden="false" customHeight="false" outlineLevel="0" collapsed="false">
      <c r="A68" s="14" t="s">
        <v>97</v>
      </c>
      <c r="B68" s="25" t="str">
        <f aca="false">'8 Type A Means'!$C$58</f>
        <v/>
      </c>
      <c r="C68" s="32" t="s">
        <v>344</v>
      </c>
    </row>
    <row r="69" customFormat="false" ht="15" hidden="false" customHeight="false" outlineLevel="0" collapsed="false">
      <c r="A69" s="14" t="s">
        <v>98</v>
      </c>
      <c r="B69" s="25" t="str">
        <f aca="false">'8 Type A Means'!$C$59</f>
        <v/>
      </c>
      <c r="C69" s="32" t="s">
        <v>344</v>
      </c>
    </row>
    <row r="70" customFormat="false" ht="15" hidden="false" customHeight="false" outlineLevel="0" collapsed="false">
      <c r="A70" s="14" t="s">
        <v>99</v>
      </c>
      <c r="B70" s="25" t="str">
        <f aca="false">'8 Type A Means'!$C$60</f>
        <v/>
      </c>
      <c r="C70" s="32" t="s">
        <v>344</v>
      </c>
    </row>
    <row r="71" customFormat="false" ht="15" hidden="false" customHeight="false" outlineLevel="0" collapsed="false">
      <c r="A71" s="14" t="s">
        <v>100</v>
      </c>
      <c r="B71" s="25" t="str">
        <f aca="false">'8 Type A Means'!$C$61</f>
        <v/>
      </c>
      <c r="C71" s="32" t="s">
        <v>344</v>
      </c>
    </row>
    <row r="72" customFormat="false" ht="15" hidden="false" customHeight="false" outlineLevel="0" collapsed="false">
      <c r="A72" s="14" t="s">
        <v>353</v>
      </c>
      <c r="B72" s="25" t="str">
        <f aca="false">'9 Type C Scoring'!$B$48</f>
        <v/>
      </c>
      <c r="C72" s="32" t="s">
        <v>330</v>
      </c>
    </row>
    <row r="73" customFormat="false" ht="15" hidden="false" customHeight="false" outlineLevel="0" collapsed="false">
      <c r="A73" s="14" t="s">
        <v>101</v>
      </c>
      <c r="B73" s="25" t="str">
        <f aca="false">'8 Type A Means'!$C$62</f>
        <v/>
      </c>
      <c r="C73" s="32" t="s">
        <v>344</v>
      </c>
    </row>
    <row r="74" customFormat="false" ht="15" hidden="false" customHeight="false" outlineLevel="0" collapsed="false">
      <c r="A74" s="14" t="s">
        <v>102</v>
      </c>
      <c r="B74" s="25" t="str">
        <f aca="false">'8 Type A Means'!$C$63</f>
        <v/>
      </c>
      <c r="C74" s="32" t="s">
        <v>344</v>
      </c>
    </row>
    <row r="75" customFormat="false" ht="15" hidden="false" customHeight="false" outlineLevel="0" collapsed="false">
      <c r="A75" s="14" t="s">
        <v>103</v>
      </c>
      <c r="B75" s="25" t="str">
        <f aca="false">'8 Type A Means'!$C$64</f>
        <v/>
      </c>
      <c r="C75" s="32" t="s">
        <v>344</v>
      </c>
    </row>
    <row r="76" customFormat="false" ht="15" hidden="false" customHeight="false" outlineLevel="0" collapsed="false">
      <c r="A76" s="14" t="s">
        <v>354</v>
      </c>
      <c r="B76" s="25" t="n">
        <f aca="false">'10 Layer 2'!$B$9</f>
        <v>0</v>
      </c>
      <c r="C76" s="32" t="s">
        <v>349</v>
      </c>
    </row>
    <row r="77" customFormat="false" ht="23.85" hidden="false" customHeight="false" outlineLevel="0" collapsed="false">
      <c r="A77" s="14" t="s">
        <v>355</v>
      </c>
      <c r="C77" s="32" t="s">
        <v>356</v>
      </c>
    </row>
    <row r="78" customFormat="false" ht="15" hidden="false" customHeight="false" outlineLevel="0" collapsed="false">
      <c r="A78" s="7" t="str">
        <f aca="false">IF('8 Type A Means'!$A$95="","","  "&amp;'8 Type A Means'!$A$95)</f>
        <v/>
      </c>
      <c r="B78" s="25" t="str">
        <f aca="false">IF('8 Type A Means'!$A$95="","",'8 Type A Means'!$H$95)</f>
        <v/>
      </c>
      <c r="C78" s="7" t="str">
        <f aca="false">IF('8 Type A Means'!$A$95="","","FTE "&amp;'8 Type A Means'!$B$95)</f>
        <v/>
      </c>
    </row>
    <row r="79" customFormat="false" ht="15" hidden="false" customHeight="false" outlineLevel="0" collapsed="false">
      <c r="A79" s="7" t="str">
        <f aca="false">IF('8 Type A Means'!$A$96="","","  "&amp;'8 Type A Means'!$A$96)</f>
        <v/>
      </c>
      <c r="B79" s="25" t="str">
        <f aca="false">IF('8 Type A Means'!$A$96="","",'8 Type A Means'!$H$96)</f>
        <v/>
      </c>
      <c r="C79" s="7" t="str">
        <f aca="false">IF('8 Type A Means'!$A$96="","","FTE "&amp;'8 Type A Means'!$B$96)</f>
        <v/>
      </c>
    </row>
    <row r="80" customFormat="false" ht="15" hidden="false" customHeight="false" outlineLevel="0" collapsed="false">
      <c r="A80" s="7" t="str">
        <f aca="false">IF('8 Type A Means'!$A$97="","","  "&amp;'8 Type A Means'!$A$97)</f>
        <v/>
      </c>
      <c r="B80" s="25" t="str">
        <f aca="false">IF('8 Type A Means'!$A$97="","",'8 Type A Means'!$H$97)</f>
        <v/>
      </c>
      <c r="C80" s="7" t="str">
        <f aca="false">IF('8 Type A Means'!$A$97="","","FTE "&amp;'8 Type A Means'!$B$97)</f>
        <v/>
      </c>
    </row>
    <row r="81" customFormat="false" ht="15" hidden="false" customHeight="false" outlineLevel="0" collapsed="false">
      <c r="A81" s="7" t="str">
        <f aca="false">IF('8 Type A Means'!$A$98="","","  "&amp;'8 Type A Means'!$A$98)</f>
        <v/>
      </c>
      <c r="B81" s="25" t="str">
        <f aca="false">IF('8 Type A Means'!$A$98="","",'8 Type A Means'!$H$98)</f>
        <v/>
      </c>
      <c r="C81" s="7" t="str">
        <f aca="false">IF('8 Type A Means'!$A$98="","","FTE "&amp;'8 Type A Means'!$B$98)</f>
        <v/>
      </c>
    </row>
    <row r="82" customFormat="false" ht="15" hidden="false" customHeight="false" outlineLevel="0" collapsed="false">
      <c r="A82" s="7" t="str">
        <f aca="false">IF('8 Type A Means'!$A$99="","","  "&amp;'8 Type A Means'!$A$99)</f>
        <v/>
      </c>
      <c r="B82" s="25" t="str">
        <f aca="false">IF('8 Type A Means'!$A$99="","",'8 Type A Means'!$H$99)</f>
        <v/>
      </c>
      <c r="C82" s="7" t="str">
        <f aca="false">IF('8 Type A Means'!$A$99="","","FTE "&amp;'8 Type A Means'!$B$99)</f>
        <v/>
      </c>
    </row>
    <row r="83" customFormat="false" ht="15" hidden="false" customHeight="false" outlineLevel="0" collapsed="false">
      <c r="A83" s="7" t="str">
        <f aca="false">IF('8 Type A Means'!$A$100="","","  "&amp;'8 Type A Means'!$A$100)</f>
        <v/>
      </c>
      <c r="B83" s="25" t="str">
        <f aca="false">IF('8 Type A Means'!$A$100="","",'8 Type A Means'!$H$100)</f>
        <v/>
      </c>
      <c r="C83" s="7" t="str">
        <f aca="false">IF('8 Type A Means'!$A$100="","","FTE "&amp;'8 Type A Means'!$B$100)</f>
        <v/>
      </c>
    </row>
    <row r="84" customFormat="false" ht="15" hidden="false" customHeight="false" outlineLevel="0" collapsed="false">
      <c r="A84" s="7" t="str">
        <f aca="false">IF('8 Type A Means'!$A$101="","","  "&amp;'8 Type A Means'!$A$101)</f>
        <v/>
      </c>
      <c r="B84" s="25" t="str">
        <f aca="false">IF('8 Type A Means'!$A$101="","",'8 Type A Means'!$H$101)</f>
        <v/>
      </c>
      <c r="C84" s="7" t="str">
        <f aca="false">IF('8 Type A Means'!$A$101="","","FTE "&amp;'8 Type A Means'!$B$101)</f>
        <v/>
      </c>
    </row>
    <row r="85" customFormat="false" ht="15" hidden="false" customHeight="false" outlineLevel="0" collapsed="false">
      <c r="A85" s="7" t="str">
        <f aca="false">IF('8 Type A Means'!$A$102="","","  "&amp;'8 Type A Means'!$A$102)</f>
        <v/>
      </c>
      <c r="B85" s="25" t="str">
        <f aca="false">IF('8 Type A Means'!$A$102="","",'8 Type A Means'!$H$102)</f>
        <v/>
      </c>
      <c r="C85" s="7" t="str">
        <f aca="false">IF('8 Type A Means'!$A$102="","","FTE "&amp;'8 Type A Means'!$B$102)</f>
        <v/>
      </c>
    </row>
    <row r="86" customFormat="false" ht="15" hidden="false" customHeight="false" outlineLevel="0" collapsed="false">
      <c r="A86" s="7" t="str">
        <f aca="false">IF('8 Type A Means'!$A$103="","","  "&amp;'8 Type A Means'!$A$103)</f>
        <v/>
      </c>
      <c r="B86" s="25" t="str">
        <f aca="false">IF('8 Type A Means'!$A$103="","",'8 Type A Means'!$H$103)</f>
        <v/>
      </c>
      <c r="C86" s="7" t="str">
        <f aca="false">IF('8 Type A Means'!$A$103="","","FTE "&amp;'8 Type A Means'!$B$103)</f>
        <v/>
      </c>
    </row>
    <row r="87" customFormat="false" ht="15" hidden="false" customHeight="false" outlineLevel="0" collapsed="false">
      <c r="A87" s="7" t="str">
        <f aca="false">IF('8 Type A Means'!$A$104="","","  "&amp;'8 Type A Means'!$A$104)</f>
        <v/>
      </c>
      <c r="B87" s="25" t="str">
        <f aca="false">IF('8 Type A Means'!$A$104="","",'8 Type A Means'!$H$104)</f>
        <v/>
      </c>
      <c r="C87" s="7" t="str">
        <f aca="false">IF('8 Type A Means'!$A$104="","","FTE "&amp;'8 Type A Means'!$B$104)</f>
        <v/>
      </c>
    </row>
    <row r="88" customFormat="false" ht="15" hidden="false" customHeight="true" outlineLevel="0" collapsed="false">
      <c r="A88" s="10" t="s">
        <v>357</v>
      </c>
      <c r="B88" s="10"/>
      <c r="C88" s="10"/>
      <c r="D88" s="10"/>
    </row>
    <row r="89" customFormat="false" ht="15" hidden="false" customHeight="false" outlineLevel="0" collapsed="false">
      <c r="A89" s="14" t="s">
        <v>358</v>
      </c>
      <c r="B89" s="25" t="n">
        <f aca="false">'10 Layer 2'!$B$8</f>
        <v>0</v>
      </c>
      <c r="C89" s="32" t="s">
        <v>349</v>
      </c>
    </row>
    <row r="90" customFormat="false" ht="15" hidden="false" customHeight="false" outlineLevel="0" collapsed="false">
      <c r="A90" s="14" t="s">
        <v>107</v>
      </c>
      <c r="B90" s="25" t="str">
        <f aca="false">'8 Type A Means'!$C$68</f>
        <v/>
      </c>
      <c r="C90" s="32" t="s">
        <v>344</v>
      </c>
    </row>
    <row r="91" customFormat="false" ht="15" hidden="false" customHeight="false" outlineLevel="0" collapsed="false">
      <c r="A91" s="14" t="s">
        <v>108</v>
      </c>
      <c r="B91" s="25" t="str">
        <f aca="false">'8 Type A Means'!$C$69</f>
        <v/>
      </c>
      <c r="C91" s="32" t="s">
        <v>344</v>
      </c>
    </row>
    <row r="92" customFormat="false" ht="15" hidden="false" customHeight="false" outlineLevel="0" collapsed="false">
      <c r="A92" s="14" t="s">
        <v>109</v>
      </c>
      <c r="B92" s="25" t="str">
        <f aca="false">'8 Type A Means'!$C$70</f>
        <v/>
      </c>
      <c r="C92" s="32" t="s">
        <v>344</v>
      </c>
    </row>
    <row r="93" customFormat="false" ht="15" hidden="false" customHeight="false" outlineLevel="0" collapsed="false">
      <c r="A93" s="14" t="s">
        <v>110</v>
      </c>
      <c r="B93" s="25" t="str">
        <f aca="false">'8 Type A Means'!$C$71</f>
        <v/>
      </c>
      <c r="C93" s="32" t="s">
        <v>344</v>
      </c>
    </row>
    <row r="94" customFormat="false" ht="15" hidden="false" customHeight="false" outlineLevel="0" collapsed="false">
      <c r="A94" s="14" t="s">
        <v>111</v>
      </c>
      <c r="B94" s="25" t="str">
        <f aca="false">'8 Type A Means'!$C$72</f>
        <v/>
      </c>
      <c r="C94" s="32" t="s">
        <v>344</v>
      </c>
    </row>
    <row r="95" customFormat="false" ht="15" hidden="false" customHeight="false" outlineLevel="0" collapsed="false">
      <c r="A95" s="14" t="s">
        <v>112</v>
      </c>
      <c r="B95" s="25" t="str">
        <f aca="false">'8 Type A Means'!$C$73</f>
        <v/>
      </c>
      <c r="C95" s="32" t="s">
        <v>344</v>
      </c>
    </row>
    <row r="96" customFormat="false" ht="15" hidden="false" customHeight="false" outlineLevel="0" collapsed="false">
      <c r="A96" s="14" t="s">
        <v>113</v>
      </c>
      <c r="B96" s="25" t="str">
        <f aca="false">'8 Type A Means'!$C$74</f>
        <v/>
      </c>
      <c r="C96" s="32" t="s">
        <v>344</v>
      </c>
    </row>
    <row r="97" customFormat="false" ht="15" hidden="false" customHeight="false" outlineLevel="0" collapsed="false">
      <c r="A97" s="14" t="s">
        <v>114</v>
      </c>
      <c r="B97" s="25" t="str">
        <f aca="false">'8 Type A Means'!$C$75</f>
        <v/>
      </c>
      <c r="C97" s="32" t="s">
        <v>344</v>
      </c>
    </row>
    <row r="98" customFormat="false" ht="15" hidden="false" customHeight="true" outlineLevel="0" collapsed="false">
      <c r="A98" s="10" t="s">
        <v>359</v>
      </c>
      <c r="B98" s="10"/>
      <c r="C98" s="10"/>
      <c r="D98" s="10"/>
    </row>
    <row r="99" customFormat="false" ht="15" hidden="false" customHeight="false" outlineLevel="0" collapsed="false">
      <c r="A99" s="14" t="s">
        <v>360</v>
      </c>
      <c r="C99" s="32" t="s">
        <v>361</v>
      </c>
    </row>
    <row r="100" customFormat="false" ht="15" hidden="false" customHeight="false" outlineLevel="0" collapsed="false">
      <c r="A100" s="7" t="str">
        <f aca="false">IF('9 Type C Scoring'!$A$97="","","  "&amp;'9 Type C Scoring'!$A$97)</f>
        <v/>
      </c>
      <c r="B100" s="33" t="str">
        <f aca="false">IF('9 Type C Scoring'!$A$97="","",'9 Type C Scoring'!$C$97)</f>
        <v/>
      </c>
      <c r="C100" s="7" t="str">
        <f aca="false">IF('9 Type C Scoring'!$A$97="","",'9 Type C Scoring'!$B$97)</f>
        <v/>
      </c>
    </row>
    <row r="101" customFormat="false" ht="15" hidden="false" customHeight="false" outlineLevel="0" collapsed="false">
      <c r="A101" s="7" t="str">
        <f aca="false">IF('9 Type C Scoring'!$A$98="","","  "&amp;'9 Type C Scoring'!$A$98)</f>
        <v/>
      </c>
      <c r="B101" s="33" t="str">
        <f aca="false">IF('9 Type C Scoring'!$A$98="","",'9 Type C Scoring'!$C$98)</f>
        <v/>
      </c>
      <c r="C101" s="7" t="str">
        <f aca="false">IF('9 Type C Scoring'!$A$98="","",'9 Type C Scoring'!$B$98)</f>
        <v/>
      </c>
    </row>
    <row r="102" customFormat="false" ht="15" hidden="false" customHeight="false" outlineLevel="0" collapsed="false">
      <c r="A102" s="7" t="str">
        <f aca="false">IF('9 Type C Scoring'!$A$99="","","  "&amp;'9 Type C Scoring'!$A$99)</f>
        <v/>
      </c>
      <c r="B102" s="33" t="str">
        <f aca="false">IF('9 Type C Scoring'!$A$99="","",'9 Type C Scoring'!$C$99)</f>
        <v/>
      </c>
      <c r="C102" s="7" t="str">
        <f aca="false">IF('9 Type C Scoring'!$A$99="","",'9 Type C Scoring'!$B$99)</f>
        <v/>
      </c>
    </row>
    <row r="103" customFormat="false" ht="15" hidden="false" customHeight="false" outlineLevel="0" collapsed="false">
      <c r="A103" s="7" t="str">
        <f aca="false">IF('9 Type C Scoring'!$A$100="","","  "&amp;'9 Type C Scoring'!$A$100)</f>
        <v/>
      </c>
      <c r="B103" s="33" t="str">
        <f aca="false">IF('9 Type C Scoring'!$A$100="","",'9 Type C Scoring'!$C$100)</f>
        <v/>
      </c>
      <c r="C103" s="7" t="str">
        <f aca="false">IF('9 Type C Scoring'!$A$100="","",'9 Type C Scoring'!$B$100)</f>
        <v/>
      </c>
    </row>
    <row r="104" customFormat="false" ht="15" hidden="false" customHeight="false" outlineLevel="0" collapsed="false">
      <c r="A104" s="7" t="str">
        <f aca="false">IF('9 Type C Scoring'!$A$101="","","  "&amp;'9 Type C Scoring'!$A$101)</f>
        <v/>
      </c>
      <c r="B104" s="33" t="str">
        <f aca="false">IF('9 Type C Scoring'!$A$101="","",'9 Type C Scoring'!$C$101)</f>
        <v/>
      </c>
      <c r="C104" s="7" t="str">
        <f aca="false">IF('9 Type C Scoring'!$A$101="","",'9 Type C Scoring'!$B$101)</f>
        <v/>
      </c>
    </row>
    <row r="105" customFormat="false" ht="15" hidden="false" customHeight="false" outlineLevel="0" collapsed="false">
      <c r="A105" s="7" t="str">
        <f aca="false">IF('9 Type C Scoring'!$A$102="","","  "&amp;'9 Type C Scoring'!$A$102)</f>
        <v/>
      </c>
      <c r="B105" s="33" t="str">
        <f aca="false">IF('9 Type C Scoring'!$A$102="","",'9 Type C Scoring'!$C$102)</f>
        <v/>
      </c>
      <c r="C105" s="7" t="str">
        <f aca="false">IF('9 Type C Scoring'!$A$102="","",'9 Type C Scoring'!$B$102)</f>
        <v/>
      </c>
    </row>
    <row r="106" customFormat="false" ht="15" hidden="false" customHeight="false" outlineLevel="0" collapsed="false">
      <c r="A106" s="7" t="str">
        <f aca="false">IF('9 Type C Scoring'!$A$103="","","  "&amp;'9 Type C Scoring'!$A$103)</f>
        <v/>
      </c>
      <c r="B106" s="33" t="str">
        <f aca="false">IF('9 Type C Scoring'!$A$103="","",'9 Type C Scoring'!$C$103)</f>
        <v/>
      </c>
      <c r="C106" s="7" t="str">
        <f aca="false">IF('9 Type C Scoring'!$A$103="","",'9 Type C Scoring'!$B$103)</f>
        <v/>
      </c>
    </row>
    <row r="107" customFormat="false" ht="15" hidden="false" customHeight="false" outlineLevel="0" collapsed="false">
      <c r="A107" s="7" t="str">
        <f aca="false">IF('9 Type C Scoring'!$A$104="","","  "&amp;'9 Type C Scoring'!$A$104)</f>
        <v/>
      </c>
      <c r="B107" s="33" t="str">
        <f aca="false">IF('9 Type C Scoring'!$A$104="","",'9 Type C Scoring'!$C$104)</f>
        <v/>
      </c>
      <c r="C107" s="7" t="str">
        <f aca="false">IF('9 Type C Scoring'!$A$104="","",'9 Type C Scoring'!$B$104)</f>
        <v/>
      </c>
    </row>
    <row r="108" customFormat="false" ht="15" hidden="false" customHeight="false" outlineLevel="0" collapsed="false">
      <c r="A108" s="7" t="str">
        <f aca="false">IF('9 Type C Scoring'!$A$105="","","  "&amp;'9 Type C Scoring'!$A$105)</f>
        <v/>
      </c>
      <c r="B108" s="33" t="str">
        <f aca="false">IF('9 Type C Scoring'!$A$105="","",'9 Type C Scoring'!$C$105)</f>
        <v/>
      </c>
      <c r="C108" s="7" t="str">
        <f aca="false">IF('9 Type C Scoring'!$A$105="","",'9 Type C Scoring'!$B$105)</f>
        <v/>
      </c>
    </row>
    <row r="109" customFormat="false" ht="15" hidden="false" customHeight="false" outlineLevel="0" collapsed="false">
      <c r="A109" s="7" t="str">
        <f aca="false">IF('9 Type C Scoring'!$A$106="","","  "&amp;'9 Type C Scoring'!$A$106)</f>
        <v/>
      </c>
      <c r="B109" s="33" t="str">
        <f aca="false">IF('9 Type C Scoring'!$A$106="","",'9 Type C Scoring'!$C$106)</f>
        <v/>
      </c>
      <c r="C109" s="7" t="str">
        <f aca="false">IF('9 Type C Scoring'!$A$106="","",'9 Type C Scoring'!$B$106)</f>
        <v/>
      </c>
    </row>
    <row r="110" customFormat="false" ht="15" hidden="false" customHeight="false" outlineLevel="0" collapsed="false">
      <c r="A110" s="7" t="str">
        <f aca="false">IF('9 Type C Scoring'!$A$107="","","  "&amp;'9 Type C Scoring'!$A$107)</f>
        <v/>
      </c>
      <c r="B110" s="33" t="str">
        <f aca="false">IF('9 Type C Scoring'!$A$107="","",'9 Type C Scoring'!$C$107)</f>
        <v/>
      </c>
      <c r="C110" s="7" t="str">
        <f aca="false">IF('9 Type C Scoring'!$A$107="","",'9 Type C Scoring'!$B$107)</f>
        <v/>
      </c>
    </row>
    <row r="111" customFormat="false" ht="15" hidden="false" customHeight="false" outlineLevel="0" collapsed="false">
      <c r="A111" s="7" t="str">
        <f aca="false">IF('9 Type C Scoring'!$A$108="","","  "&amp;'9 Type C Scoring'!$A$108)</f>
        <v/>
      </c>
      <c r="B111" s="33" t="str">
        <f aca="false">IF('9 Type C Scoring'!$A$108="","",'9 Type C Scoring'!$C$108)</f>
        <v/>
      </c>
      <c r="C111" s="7" t="str">
        <f aca="false">IF('9 Type C Scoring'!$A$108="","",'9 Type C Scoring'!$B$108)</f>
        <v/>
      </c>
    </row>
    <row r="112" customFormat="false" ht="15" hidden="false" customHeight="false" outlineLevel="0" collapsed="false">
      <c r="A112" s="7" t="str">
        <f aca="false">IF('9 Type C Scoring'!$A$109="","","  "&amp;'9 Type C Scoring'!$A$109)</f>
        <v/>
      </c>
      <c r="B112" s="33" t="str">
        <f aca="false">IF('9 Type C Scoring'!$A$109="","",'9 Type C Scoring'!$C$109)</f>
        <v/>
      </c>
      <c r="C112" s="7" t="str">
        <f aca="false">IF('9 Type C Scoring'!$A$109="","",'9 Type C Scoring'!$B$109)</f>
        <v/>
      </c>
    </row>
    <row r="113" customFormat="false" ht="15" hidden="false" customHeight="false" outlineLevel="0" collapsed="false">
      <c r="A113" s="7" t="str">
        <f aca="false">IF('9 Type C Scoring'!$A$110="","","  "&amp;'9 Type C Scoring'!$A$110)</f>
        <v/>
      </c>
      <c r="B113" s="33" t="str">
        <f aca="false">IF('9 Type C Scoring'!$A$110="","",'9 Type C Scoring'!$C$110)</f>
        <v/>
      </c>
      <c r="C113" s="7" t="str">
        <f aca="false">IF('9 Type C Scoring'!$A$110="","",'9 Type C Scoring'!$B$110)</f>
        <v/>
      </c>
    </row>
    <row r="114" customFormat="false" ht="15" hidden="false" customHeight="false" outlineLevel="0" collapsed="false">
      <c r="A114" s="7" t="str">
        <f aca="false">IF('9 Type C Scoring'!$A$111="","","  "&amp;'9 Type C Scoring'!$A$111)</f>
        <v/>
      </c>
      <c r="B114" s="33" t="str">
        <f aca="false">IF('9 Type C Scoring'!$A$111="","",'9 Type C Scoring'!$C$111)</f>
        <v/>
      </c>
      <c r="C114" s="7" t="str">
        <f aca="false">IF('9 Type C Scoring'!$A$111="","",'9 Type C Scoring'!$B$111)</f>
        <v/>
      </c>
    </row>
    <row r="115" customFormat="false" ht="15" hidden="false" customHeight="false" outlineLevel="0" collapsed="false">
      <c r="A115" s="7" t="str">
        <f aca="false">IF('9 Type C Scoring'!$A$112="","","  "&amp;'9 Type C Scoring'!$A$112)</f>
        <v/>
      </c>
      <c r="B115" s="33" t="str">
        <f aca="false">IF('9 Type C Scoring'!$A$112="","",'9 Type C Scoring'!$C$112)</f>
        <v/>
      </c>
      <c r="C115" s="7" t="str">
        <f aca="false">IF('9 Type C Scoring'!$A$112="","",'9 Type C Scoring'!$B$112)</f>
        <v/>
      </c>
    </row>
    <row r="116" customFormat="false" ht="15" hidden="false" customHeight="false" outlineLevel="0" collapsed="false">
      <c r="A116" s="7" t="str">
        <f aca="false">IF('9 Type C Scoring'!$A$113="","","  "&amp;'9 Type C Scoring'!$A$113)</f>
        <v/>
      </c>
      <c r="B116" s="33" t="str">
        <f aca="false">IF('9 Type C Scoring'!$A$113="","",'9 Type C Scoring'!$C$113)</f>
        <v/>
      </c>
      <c r="C116" s="7" t="str">
        <f aca="false">IF('9 Type C Scoring'!$A$113="","",'9 Type C Scoring'!$B$113)</f>
        <v/>
      </c>
    </row>
    <row r="117" customFormat="false" ht="15" hidden="false" customHeight="false" outlineLevel="0" collapsed="false">
      <c r="A117" s="7" t="str">
        <f aca="false">IF('9 Type C Scoring'!$A$114="","","  "&amp;'9 Type C Scoring'!$A$114)</f>
        <v/>
      </c>
      <c r="B117" s="33" t="str">
        <f aca="false">IF('9 Type C Scoring'!$A$114="","",'9 Type C Scoring'!$C$114)</f>
        <v/>
      </c>
      <c r="C117" s="7" t="str">
        <f aca="false">IF('9 Type C Scoring'!$A$114="","",'9 Type C Scoring'!$B$114)</f>
        <v/>
      </c>
    </row>
    <row r="118" customFormat="false" ht="15" hidden="false" customHeight="false" outlineLevel="0" collapsed="false">
      <c r="A118" s="7" t="str">
        <f aca="false">IF('9 Type C Scoring'!$A$115="","","  "&amp;'9 Type C Scoring'!$A$115)</f>
        <v/>
      </c>
      <c r="B118" s="33" t="str">
        <f aca="false">IF('9 Type C Scoring'!$A$115="","",'9 Type C Scoring'!$C$115)</f>
        <v/>
      </c>
      <c r="C118" s="7" t="str">
        <f aca="false">IF('9 Type C Scoring'!$A$115="","",'9 Type C Scoring'!$B$115)</f>
        <v/>
      </c>
    </row>
    <row r="119" customFormat="false" ht="15" hidden="false" customHeight="false" outlineLevel="0" collapsed="false">
      <c r="A119" s="7" t="str">
        <f aca="false">IF('9 Type C Scoring'!$A$116="","","  "&amp;'9 Type C Scoring'!$A$116)</f>
        <v/>
      </c>
      <c r="B119" s="33" t="str">
        <f aca="false">IF('9 Type C Scoring'!$A$116="","",'9 Type C Scoring'!$C$116)</f>
        <v/>
      </c>
      <c r="C119" s="7" t="str">
        <f aca="false">IF('9 Type C Scoring'!$A$116="","",'9 Type C Scoring'!$B$116)</f>
        <v/>
      </c>
    </row>
    <row r="120" customFormat="false" ht="15" hidden="false" customHeight="false" outlineLevel="0" collapsed="false">
      <c r="A120" s="7" t="str">
        <f aca="false">IF('9 Type C Scoring'!$A$117="","","  "&amp;'9 Type C Scoring'!$A$117)</f>
        <v/>
      </c>
      <c r="B120" s="33" t="str">
        <f aca="false">IF('9 Type C Scoring'!$A$117="","",'9 Type C Scoring'!$C$117)</f>
        <v/>
      </c>
      <c r="C120" s="7" t="str">
        <f aca="false">IF('9 Type C Scoring'!$A$117="","",'9 Type C Scoring'!$B$117)</f>
        <v/>
      </c>
    </row>
    <row r="121" customFormat="false" ht="15" hidden="false" customHeight="false" outlineLevel="0" collapsed="false">
      <c r="A121" s="7" t="str">
        <f aca="false">IF('9 Type C Scoring'!$A$118="","","  "&amp;'9 Type C Scoring'!$A$118)</f>
        <v/>
      </c>
      <c r="B121" s="33" t="str">
        <f aca="false">IF('9 Type C Scoring'!$A$118="","",'9 Type C Scoring'!$C$118)</f>
        <v/>
      </c>
      <c r="C121" s="7" t="str">
        <f aca="false">IF('9 Type C Scoring'!$A$118="","",'9 Type C Scoring'!$B$118)</f>
        <v/>
      </c>
    </row>
    <row r="122" customFormat="false" ht="15" hidden="false" customHeight="false" outlineLevel="0" collapsed="false">
      <c r="A122" s="7" t="str">
        <f aca="false">IF('9 Type C Scoring'!$A$119="","","  "&amp;'9 Type C Scoring'!$A$119)</f>
        <v/>
      </c>
      <c r="B122" s="33" t="str">
        <f aca="false">IF('9 Type C Scoring'!$A$119="","",'9 Type C Scoring'!$C$119)</f>
        <v/>
      </c>
      <c r="C122" s="7" t="str">
        <f aca="false">IF('9 Type C Scoring'!$A$119="","",'9 Type C Scoring'!$B$119)</f>
        <v/>
      </c>
    </row>
    <row r="123" customFormat="false" ht="15" hidden="false" customHeight="false" outlineLevel="0" collapsed="false">
      <c r="A123" s="7" t="str">
        <f aca="false">IF('9 Type C Scoring'!$A$120="","","  "&amp;'9 Type C Scoring'!$A$120)</f>
        <v/>
      </c>
      <c r="B123" s="33" t="str">
        <f aca="false">IF('9 Type C Scoring'!$A$120="","",'9 Type C Scoring'!$C$120)</f>
        <v/>
      </c>
      <c r="C123" s="7" t="str">
        <f aca="false">IF('9 Type C Scoring'!$A$120="","",'9 Type C Scoring'!$B$120)</f>
        <v/>
      </c>
    </row>
    <row r="124" customFormat="false" ht="15" hidden="false" customHeight="false" outlineLevel="0" collapsed="false">
      <c r="A124" s="7" t="str">
        <f aca="false">IF('9 Type C Scoring'!$A$121="","","  "&amp;'9 Type C Scoring'!$A$121)</f>
        <v/>
      </c>
      <c r="B124" s="33" t="str">
        <f aca="false">IF('9 Type C Scoring'!$A$121="","",'9 Type C Scoring'!$C$121)</f>
        <v/>
      </c>
      <c r="C124" s="7" t="str">
        <f aca="false">IF('9 Type C Scoring'!$A$121="","",'9 Type C Scoring'!$B$121)</f>
        <v/>
      </c>
    </row>
    <row r="125" customFormat="false" ht="15" hidden="false" customHeight="false" outlineLevel="0" collapsed="false">
      <c r="A125" s="7" t="str">
        <f aca="false">IF('9 Type C Scoring'!$A$122="","","  "&amp;'9 Type C Scoring'!$A$122)</f>
        <v/>
      </c>
      <c r="B125" s="33" t="str">
        <f aca="false">IF('9 Type C Scoring'!$A$122="","",'9 Type C Scoring'!$C$122)</f>
        <v/>
      </c>
      <c r="C125" s="7" t="str">
        <f aca="false">IF('9 Type C Scoring'!$A$122="","",'9 Type C Scoring'!$B$122)</f>
        <v/>
      </c>
    </row>
    <row r="126" customFormat="false" ht="15" hidden="false" customHeight="false" outlineLevel="0" collapsed="false">
      <c r="A126" s="7" t="str">
        <f aca="false">IF('9 Type C Scoring'!$A$123="","","  "&amp;'9 Type C Scoring'!$A$123)</f>
        <v/>
      </c>
      <c r="B126" s="33" t="str">
        <f aca="false">IF('9 Type C Scoring'!$A$123="","",'9 Type C Scoring'!$C$123)</f>
        <v/>
      </c>
      <c r="C126" s="7" t="str">
        <f aca="false">IF('9 Type C Scoring'!$A$123="","",'9 Type C Scoring'!$B$123)</f>
        <v/>
      </c>
    </row>
    <row r="127" customFormat="false" ht="15" hidden="false" customHeight="false" outlineLevel="0" collapsed="false">
      <c r="A127" s="7" t="str">
        <f aca="false">IF('9 Type C Scoring'!$A$124="","","  "&amp;'9 Type C Scoring'!$A$124)</f>
        <v/>
      </c>
      <c r="B127" s="33" t="str">
        <f aca="false">IF('9 Type C Scoring'!$A$124="","",'9 Type C Scoring'!$C$124)</f>
        <v/>
      </c>
      <c r="C127" s="7" t="str">
        <f aca="false">IF('9 Type C Scoring'!$A$124="","",'9 Type C Scoring'!$B$124)</f>
        <v/>
      </c>
    </row>
    <row r="128" customFormat="false" ht="15" hidden="false" customHeight="false" outlineLevel="0" collapsed="false">
      <c r="A128" s="7" t="str">
        <f aca="false">IF('9 Type C Scoring'!$A$125="","","  "&amp;'9 Type C Scoring'!$A$125)</f>
        <v/>
      </c>
      <c r="B128" s="33" t="str">
        <f aca="false">IF('9 Type C Scoring'!$A$125="","",'9 Type C Scoring'!$C$125)</f>
        <v/>
      </c>
      <c r="C128" s="7" t="str">
        <f aca="false">IF('9 Type C Scoring'!$A$125="","",'9 Type C Scoring'!$B$125)</f>
        <v/>
      </c>
    </row>
    <row r="129" customFormat="false" ht="15" hidden="false" customHeight="false" outlineLevel="0" collapsed="false">
      <c r="A129" s="7" t="str">
        <f aca="false">IF('9 Type C Scoring'!$A$126="","","  "&amp;'9 Type C Scoring'!$A$126)</f>
        <v/>
      </c>
      <c r="B129" s="33" t="str">
        <f aca="false">IF('9 Type C Scoring'!$A$126="","",'9 Type C Scoring'!$C$126)</f>
        <v/>
      </c>
      <c r="C129" s="7" t="str">
        <f aca="false">IF('9 Type C Scoring'!$A$126="","",'9 Type C Scoring'!$B$126)</f>
        <v/>
      </c>
    </row>
    <row r="130" customFormat="false" ht="15" hidden="false" customHeight="false" outlineLevel="0" collapsed="false">
      <c r="A130" s="7" t="str">
        <f aca="false">IF('9 Type C Scoring'!$A$127="","","  "&amp;'9 Type C Scoring'!$A$127)</f>
        <v/>
      </c>
      <c r="B130" s="33" t="str">
        <f aca="false">IF('9 Type C Scoring'!$A$127="","",'9 Type C Scoring'!$C$127)</f>
        <v/>
      </c>
      <c r="C130" s="7" t="str">
        <f aca="false">IF('9 Type C Scoring'!$A$127="","",'9 Type C Scoring'!$B$127)</f>
        <v/>
      </c>
    </row>
    <row r="131" customFormat="false" ht="15" hidden="false" customHeight="false" outlineLevel="0" collapsed="false">
      <c r="A131" s="7" t="str">
        <f aca="false">IF('9 Type C Scoring'!$A$128="","","  "&amp;'9 Type C Scoring'!$A$128)</f>
        <v/>
      </c>
      <c r="B131" s="33" t="str">
        <f aca="false">IF('9 Type C Scoring'!$A$128="","",'9 Type C Scoring'!$C$128)</f>
        <v/>
      </c>
      <c r="C131" s="7" t="str">
        <f aca="false">IF('9 Type C Scoring'!$A$128="","",'9 Type C Scoring'!$B$128)</f>
        <v/>
      </c>
    </row>
    <row r="132" customFormat="false" ht="15" hidden="false" customHeight="false" outlineLevel="0" collapsed="false">
      <c r="A132" s="7" t="str">
        <f aca="false">IF('9 Type C Scoring'!$A$129="","","  "&amp;'9 Type C Scoring'!$A$129)</f>
        <v/>
      </c>
      <c r="B132" s="33" t="str">
        <f aca="false">IF('9 Type C Scoring'!$A$129="","",'9 Type C Scoring'!$C$129)</f>
        <v/>
      </c>
      <c r="C132" s="7" t="str">
        <f aca="false">IF('9 Type C Scoring'!$A$129="","",'9 Type C Scoring'!$B$129)</f>
        <v/>
      </c>
    </row>
    <row r="133" customFormat="false" ht="15" hidden="false" customHeight="false" outlineLevel="0" collapsed="false">
      <c r="A133" s="7" t="str">
        <f aca="false">IF('9 Type C Scoring'!$A$130="","","  "&amp;'9 Type C Scoring'!$A$130)</f>
        <v/>
      </c>
      <c r="B133" s="33" t="str">
        <f aca="false">IF('9 Type C Scoring'!$A$130="","",'9 Type C Scoring'!$C$130)</f>
        <v/>
      </c>
      <c r="C133" s="7" t="str">
        <f aca="false">IF('9 Type C Scoring'!$A$130="","",'9 Type C Scoring'!$B$130)</f>
        <v/>
      </c>
    </row>
    <row r="134" customFormat="false" ht="15" hidden="false" customHeight="false" outlineLevel="0" collapsed="false">
      <c r="A134" s="7" t="str">
        <f aca="false">IF('9 Type C Scoring'!$A$131="","","  "&amp;'9 Type C Scoring'!$A$131)</f>
        <v/>
      </c>
      <c r="B134" s="33" t="str">
        <f aca="false">IF('9 Type C Scoring'!$A$131="","",'9 Type C Scoring'!$C$131)</f>
        <v/>
      </c>
      <c r="C134" s="7" t="str">
        <f aca="false">IF('9 Type C Scoring'!$A$131="","",'9 Type C Scoring'!$B$131)</f>
        <v/>
      </c>
    </row>
    <row r="135" customFormat="false" ht="15" hidden="false" customHeight="false" outlineLevel="0" collapsed="false">
      <c r="A135" s="7" t="str">
        <f aca="false">IF('9 Type C Scoring'!$A$132="","","  "&amp;'9 Type C Scoring'!$A$132)</f>
        <v/>
      </c>
      <c r="B135" s="33" t="str">
        <f aca="false">IF('9 Type C Scoring'!$A$132="","",'9 Type C Scoring'!$C$132)</f>
        <v/>
      </c>
      <c r="C135" s="7" t="str">
        <f aca="false">IF('9 Type C Scoring'!$A$132="","",'9 Type C Scoring'!$B$132)</f>
        <v/>
      </c>
    </row>
    <row r="136" customFormat="false" ht="15" hidden="false" customHeight="false" outlineLevel="0" collapsed="false">
      <c r="A136" s="7" t="str">
        <f aca="false">IF('9 Type C Scoring'!$A$133="","","  "&amp;'9 Type C Scoring'!$A$133)</f>
        <v/>
      </c>
      <c r="B136" s="33" t="str">
        <f aca="false">IF('9 Type C Scoring'!$A$133="","",'9 Type C Scoring'!$C$133)</f>
        <v/>
      </c>
      <c r="C136" s="7" t="str">
        <f aca="false">IF('9 Type C Scoring'!$A$133="","",'9 Type C Scoring'!$B$133)</f>
        <v/>
      </c>
    </row>
    <row r="137" customFormat="false" ht="15" hidden="false" customHeight="false" outlineLevel="0" collapsed="false">
      <c r="A137" s="7" t="str">
        <f aca="false">IF('9 Type C Scoring'!$A$134="","","  "&amp;'9 Type C Scoring'!$A$134)</f>
        <v/>
      </c>
      <c r="B137" s="33" t="str">
        <f aca="false">IF('9 Type C Scoring'!$A$134="","",'9 Type C Scoring'!$C$134)</f>
        <v/>
      </c>
      <c r="C137" s="7" t="str">
        <f aca="false">IF('9 Type C Scoring'!$A$134="","",'9 Type C Scoring'!$B$134)</f>
        <v/>
      </c>
    </row>
    <row r="138" customFormat="false" ht="15" hidden="false" customHeight="false" outlineLevel="0" collapsed="false">
      <c r="A138" s="7" t="str">
        <f aca="false">IF('9 Type C Scoring'!$A$135="","","  "&amp;'9 Type C Scoring'!$A$135)</f>
        <v/>
      </c>
      <c r="B138" s="33" t="str">
        <f aca="false">IF('9 Type C Scoring'!$A$135="","",'9 Type C Scoring'!$C$135)</f>
        <v/>
      </c>
      <c r="C138" s="7" t="str">
        <f aca="false">IF('9 Type C Scoring'!$A$135="","",'9 Type C Scoring'!$B$135)</f>
        <v/>
      </c>
    </row>
    <row r="139" customFormat="false" ht="15" hidden="false" customHeight="false" outlineLevel="0" collapsed="false">
      <c r="A139" s="7" t="str">
        <f aca="false">IF('9 Type C Scoring'!$A$136="","","  "&amp;'9 Type C Scoring'!$A$136)</f>
        <v/>
      </c>
      <c r="B139" s="33" t="str">
        <f aca="false">IF('9 Type C Scoring'!$A$136="","",'9 Type C Scoring'!$C$136)</f>
        <v/>
      </c>
      <c r="C139" s="7" t="str">
        <f aca="false">IF('9 Type C Scoring'!$A$136="","",'9 Type C Scoring'!$B$136)</f>
        <v/>
      </c>
    </row>
    <row r="140" customFormat="false" ht="15" hidden="false" customHeight="false" outlineLevel="0" collapsed="false">
      <c r="A140" s="7" t="str">
        <f aca="false">IF('9 Type C Scoring'!$A$137="","","  "&amp;'9 Type C Scoring'!$A$137)</f>
        <v/>
      </c>
      <c r="B140" s="33" t="str">
        <f aca="false">IF('9 Type C Scoring'!$A$137="","",'9 Type C Scoring'!$C$137)</f>
        <v/>
      </c>
      <c r="C140" s="7" t="str">
        <f aca="false">IF('9 Type C Scoring'!$A$137="","",'9 Type C Scoring'!$B$137)</f>
        <v/>
      </c>
    </row>
    <row r="141" customFormat="false" ht="15" hidden="false" customHeight="false" outlineLevel="0" collapsed="false">
      <c r="A141" s="7" t="str">
        <f aca="false">IF('9 Type C Scoring'!$A$138="","","  "&amp;'9 Type C Scoring'!$A$138)</f>
        <v/>
      </c>
      <c r="B141" s="33" t="str">
        <f aca="false">IF('9 Type C Scoring'!$A$138="","",'9 Type C Scoring'!$C$138)</f>
        <v/>
      </c>
      <c r="C141" s="7" t="str">
        <f aca="false">IF('9 Type C Scoring'!$A$138="","",'9 Type C Scoring'!$B$138)</f>
        <v/>
      </c>
    </row>
    <row r="142" customFormat="false" ht="15" hidden="false" customHeight="false" outlineLevel="0" collapsed="false">
      <c r="A142" s="7" t="str">
        <f aca="false">IF('9 Type C Scoring'!$A$139="","","  "&amp;'9 Type C Scoring'!$A$139)</f>
        <v/>
      </c>
      <c r="B142" s="33" t="str">
        <f aca="false">IF('9 Type C Scoring'!$A$139="","",'9 Type C Scoring'!$C$139)</f>
        <v/>
      </c>
      <c r="C142" s="7" t="str">
        <f aca="false">IF('9 Type C Scoring'!$A$139="","",'9 Type C Scoring'!$B$139)</f>
        <v/>
      </c>
    </row>
    <row r="143" customFormat="false" ht="15" hidden="false" customHeight="false" outlineLevel="0" collapsed="false">
      <c r="A143" s="7" t="str">
        <f aca="false">IF('9 Type C Scoring'!$A$140="","","  "&amp;'9 Type C Scoring'!$A$140)</f>
        <v/>
      </c>
      <c r="B143" s="33" t="str">
        <f aca="false">IF('9 Type C Scoring'!$A$140="","",'9 Type C Scoring'!$C$140)</f>
        <v/>
      </c>
      <c r="C143" s="7" t="str">
        <f aca="false">IF('9 Type C Scoring'!$A$140="","",'9 Type C Scoring'!$B$140)</f>
        <v/>
      </c>
    </row>
    <row r="144" customFormat="false" ht="15" hidden="false" customHeight="false" outlineLevel="0" collapsed="false">
      <c r="A144" s="7" t="str">
        <f aca="false">IF('9 Type C Scoring'!$A$141="","","  "&amp;'9 Type C Scoring'!$A$141)</f>
        <v/>
      </c>
      <c r="B144" s="33" t="str">
        <f aca="false">IF('9 Type C Scoring'!$A$141="","",'9 Type C Scoring'!$C$141)</f>
        <v/>
      </c>
      <c r="C144" s="7" t="str">
        <f aca="false">IF('9 Type C Scoring'!$A$141="","",'9 Type C Scoring'!$B$141)</f>
        <v/>
      </c>
    </row>
    <row r="145" customFormat="false" ht="15" hidden="false" customHeight="false" outlineLevel="0" collapsed="false">
      <c r="A145" s="7" t="str">
        <f aca="false">IF('9 Type C Scoring'!$A$142="","","  "&amp;'9 Type C Scoring'!$A$142)</f>
        <v/>
      </c>
      <c r="B145" s="33" t="str">
        <f aca="false">IF('9 Type C Scoring'!$A$142="","",'9 Type C Scoring'!$C$142)</f>
        <v/>
      </c>
      <c r="C145" s="7" t="str">
        <f aca="false">IF('9 Type C Scoring'!$A$142="","",'9 Type C Scoring'!$B$142)</f>
        <v/>
      </c>
    </row>
    <row r="146" customFormat="false" ht="15" hidden="false" customHeight="false" outlineLevel="0" collapsed="false">
      <c r="A146" s="7" t="str">
        <f aca="false">IF('9 Type C Scoring'!$A$143="","","  "&amp;'9 Type C Scoring'!$A$143)</f>
        <v/>
      </c>
      <c r="B146" s="33" t="str">
        <f aca="false">IF('9 Type C Scoring'!$A$143="","",'9 Type C Scoring'!$C$143)</f>
        <v/>
      </c>
      <c r="C146" s="7" t="str">
        <f aca="false">IF('9 Type C Scoring'!$A$143="","",'9 Type C Scoring'!$B$143)</f>
        <v/>
      </c>
    </row>
    <row r="147" customFormat="false" ht="15" hidden="false" customHeight="false" outlineLevel="0" collapsed="false">
      <c r="A147" s="7" t="str">
        <f aca="false">IF('9 Type C Scoring'!$A$144="","","  "&amp;'9 Type C Scoring'!$A$144)</f>
        <v/>
      </c>
      <c r="B147" s="33" t="str">
        <f aca="false">IF('9 Type C Scoring'!$A$144="","",'9 Type C Scoring'!$C$144)</f>
        <v/>
      </c>
      <c r="C147" s="7" t="str">
        <f aca="false">IF('9 Type C Scoring'!$A$144="","",'9 Type C Scoring'!$B$144)</f>
        <v/>
      </c>
    </row>
    <row r="148" customFormat="false" ht="15" hidden="false" customHeight="false" outlineLevel="0" collapsed="false">
      <c r="A148" s="7" t="str">
        <f aca="false">IF('9 Type C Scoring'!$A$145="","","  "&amp;'9 Type C Scoring'!$A$145)</f>
        <v/>
      </c>
      <c r="B148" s="33" t="str">
        <f aca="false">IF('9 Type C Scoring'!$A$145="","",'9 Type C Scoring'!$C$145)</f>
        <v/>
      </c>
      <c r="C148" s="7" t="str">
        <f aca="false">IF('9 Type C Scoring'!$A$145="","",'9 Type C Scoring'!$B$145)</f>
        <v/>
      </c>
    </row>
    <row r="149" customFormat="false" ht="15" hidden="false" customHeight="false" outlineLevel="0" collapsed="false">
      <c r="A149" s="7" t="str">
        <f aca="false">IF('9 Type C Scoring'!$A$146="","","  "&amp;'9 Type C Scoring'!$A$146)</f>
        <v/>
      </c>
      <c r="B149" s="33" t="str">
        <f aca="false">IF('9 Type C Scoring'!$A$146="","",'9 Type C Scoring'!$C$146)</f>
        <v/>
      </c>
      <c r="C149" s="7" t="str">
        <f aca="false">IF('9 Type C Scoring'!$A$146="","",'9 Type C Scoring'!$B$146)</f>
        <v/>
      </c>
    </row>
    <row r="150" customFormat="false" ht="15" hidden="false" customHeight="true" outlineLevel="0" collapsed="false">
      <c r="A150" s="10" t="s">
        <v>362</v>
      </c>
      <c r="B150" s="10"/>
      <c r="C150" s="10"/>
      <c r="D150" s="10"/>
    </row>
    <row r="151" customFormat="false" ht="15" hidden="false" customHeight="false" outlineLevel="0" collapsed="false">
      <c r="A151" s="14" t="s">
        <v>363</v>
      </c>
      <c r="B151" s="33" t="n">
        <f aca="false">'7 Screening'!$B$207</f>
        <v>0</v>
      </c>
      <c r="C151" s="32" t="s">
        <v>364</v>
      </c>
    </row>
    <row r="152" customFormat="false" ht="15" hidden="false" customHeight="false" outlineLevel="0" collapsed="false">
      <c r="A152" s="14" t="s">
        <v>365</v>
      </c>
      <c r="B152" s="33" t="n">
        <f aca="false">'7 Screening'!$B$208</f>
        <v>0</v>
      </c>
      <c r="C152" s="32" t="s">
        <v>364</v>
      </c>
    </row>
    <row r="153" customFormat="false" ht="15" hidden="false" customHeight="false" outlineLevel="0" collapsed="false">
      <c r="A153" s="14" t="s">
        <v>222</v>
      </c>
      <c r="B153" s="33" t="n">
        <f aca="false">'7 Screening'!$B$209</f>
        <v>0</v>
      </c>
      <c r="C153" s="32" t="s">
        <v>364</v>
      </c>
    </row>
    <row r="154" customFormat="false" ht="15" hidden="false" customHeight="false" outlineLevel="0" collapsed="false">
      <c r="A154" s="14" t="s">
        <v>223</v>
      </c>
      <c r="B154" s="34" t="str">
        <f aca="false">'7 Screening'!$B$210</f>
        <v/>
      </c>
      <c r="C154" s="32" t="s">
        <v>364</v>
      </c>
    </row>
    <row r="155" customFormat="false" ht="15" hidden="false" customHeight="false" outlineLevel="0" collapsed="false">
      <c r="A155" s="14" t="s">
        <v>366</v>
      </c>
      <c r="B155" s="35" t="s">
        <v>367</v>
      </c>
    </row>
  </sheetData>
  <sheetProtection sheet="true" formatCells="false" formatColumns="false" formatRows="false"/>
  <mergeCells count="8">
    <mergeCell ref="A1:D1"/>
    <mergeCell ref="A2:D2"/>
    <mergeCell ref="A5:D5"/>
    <mergeCell ref="A22:D22"/>
    <mergeCell ref="A48:D48"/>
    <mergeCell ref="A88:D88"/>
    <mergeCell ref="A98:D98"/>
    <mergeCell ref="A150:D1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6"/>
  </cols>
  <sheetData>
    <row r="1" customFormat="false" ht="25.5" hidden="false" customHeight="true" outlineLevel="0" collapsed="false">
      <c r="A1" s="1" t="s">
        <v>368</v>
      </c>
      <c r="B1" s="1"/>
      <c r="C1" s="1"/>
      <c r="D1" s="1"/>
    </row>
    <row r="2" customFormat="false" ht="13.5" hidden="false" customHeight="true" outlineLevel="0" collapsed="false">
      <c r="A2" s="2" t="s">
        <v>369</v>
      </c>
      <c r="B2" s="2"/>
      <c r="C2" s="2"/>
      <c r="D2" s="2"/>
    </row>
    <row r="4" customFormat="false" ht="15" hidden="false" customHeight="true" outlineLevel="0" collapsed="false">
      <c r="A4" s="8" t="s">
        <v>370</v>
      </c>
      <c r="B4" s="8"/>
      <c r="C4" s="8"/>
      <c r="D4" s="8"/>
    </row>
    <row r="5" customFormat="false" ht="15" hidden="false" customHeight="false" outlineLevel="0" collapsed="false">
      <c r="A5" s="14" t="s">
        <v>371</v>
      </c>
      <c r="B5" s="29" t="n">
        <v>0.6</v>
      </c>
    </row>
    <row r="6" customFormat="false" ht="15" hidden="false" customHeight="false" outlineLevel="0" collapsed="false">
      <c r="A6" s="14" t="s">
        <v>267</v>
      </c>
      <c r="B6" s="29" t="n">
        <v>0.75</v>
      </c>
    </row>
    <row r="7" customFormat="false" ht="15" hidden="false" customHeight="false" outlineLevel="0" collapsed="false">
      <c r="A7" s="14" t="s">
        <v>282</v>
      </c>
      <c r="B7" s="29" t="n">
        <v>0.7</v>
      </c>
    </row>
    <row r="8" customFormat="false" ht="15" hidden="false" customHeight="false" outlineLevel="0" collapsed="false">
      <c r="A8" s="14" t="s">
        <v>301</v>
      </c>
      <c r="B8" s="29" t="n">
        <v>0.7</v>
      </c>
    </row>
    <row r="9" customFormat="false" ht="15" hidden="false" customHeight="false" outlineLevel="0" collapsed="false">
      <c r="A9" s="14" t="s">
        <v>314</v>
      </c>
      <c r="B9" s="29" t="n">
        <v>0.75</v>
      </c>
    </row>
    <row r="10" customFormat="false" ht="15" hidden="false" customHeight="false" outlineLevel="0" collapsed="false">
      <c r="A10" s="14" t="s">
        <v>372</v>
      </c>
      <c r="B10" s="29" t="n">
        <v>0.7</v>
      </c>
    </row>
    <row r="11" customFormat="false" ht="15" hidden="false" customHeight="false" outlineLevel="0" collapsed="false">
      <c r="A11" s="14" t="s">
        <v>373</v>
      </c>
      <c r="B11" s="20" t="n">
        <v>4</v>
      </c>
    </row>
    <row r="12" customFormat="false" ht="15" hidden="false" customHeight="false" outlineLevel="0" collapsed="false">
      <c r="A12" s="14" t="s">
        <v>374</v>
      </c>
      <c r="B12" s="20" t="n">
        <v>12</v>
      </c>
    </row>
    <row r="13" customFormat="false" ht="15" hidden="false" customHeight="false" outlineLevel="0" collapsed="false">
      <c r="A13" s="14" t="s">
        <v>375</v>
      </c>
      <c r="B13" s="20" t="n">
        <v>8</v>
      </c>
    </row>
    <row r="15" customFormat="false" ht="15" hidden="false" customHeight="true" outlineLevel="0" collapsed="false">
      <c r="A15" s="8" t="s">
        <v>376</v>
      </c>
      <c r="B15" s="8"/>
      <c r="C15" s="8"/>
      <c r="D15" s="8"/>
    </row>
    <row r="16" customFormat="false" ht="15" hidden="false" customHeight="false" outlineLevel="0" collapsed="false">
      <c r="A16" s="14" t="s">
        <v>377</v>
      </c>
      <c r="B16" s="29" t="n">
        <v>0.25</v>
      </c>
    </row>
    <row r="17" customFormat="false" ht="15" hidden="false" customHeight="false" outlineLevel="0" collapsed="false">
      <c r="A17" s="14" t="s">
        <v>378</v>
      </c>
      <c r="B17" s="36" t="n">
        <v>3.5</v>
      </c>
    </row>
    <row r="18" customFormat="false" ht="15" hidden="false" customHeight="false" outlineLevel="0" collapsed="false">
      <c r="A18" s="14" t="s">
        <v>379</v>
      </c>
      <c r="B18" s="36" t="n">
        <v>0.2</v>
      </c>
    </row>
    <row r="19" customFormat="false" ht="15" hidden="false" customHeight="false" outlineLevel="0" collapsed="false">
      <c r="A19" s="14" t="s">
        <v>380</v>
      </c>
      <c r="B19" s="29" t="n">
        <v>0.05</v>
      </c>
    </row>
    <row r="20" customFormat="false" ht="15" hidden="false" customHeight="false" outlineLevel="0" collapsed="false">
      <c r="A20" s="14" t="s">
        <v>381</v>
      </c>
      <c r="B20" s="20" t="n">
        <v>3</v>
      </c>
    </row>
    <row r="22" customFormat="false" ht="15" hidden="false" customHeight="true" outlineLevel="0" collapsed="false">
      <c r="A22" s="8" t="s">
        <v>382</v>
      </c>
      <c r="B22" s="8"/>
      <c r="C22" s="8"/>
      <c r="D22" s="8"/>
    </row>
    <row r="23" customFormat="false" ht="27.75" hidden="false" customHeight="true" outlineLevel="0" collapsed="false">
      <c r="A23" s="9" t="s">
        <v>383</v>
      </c>
      <c r="B23" s="9"/>
      <c r="C23" s="9"/>
      <c r="D23" s="9"/>
    </row>
    <row r="25" customFormat="false" ht="12.65" hidden="false" customHeight="true" outlineLevel="0" collapsed="false">
      <c r="A25" s="8" t="s">
        <v>384</v>
      </c>
      <c r="B25" s="8"/>
      <c r="C25" s="8"/>
      <c r="D25" s="8"/>
    </row>
    <row r="26" customFormat="false" ht="19.4" hidden="false" customHeight="false" outlineLevel="0" collapsed="false">
      <c r="A26" s="37" t="s">
        <v>385</v>
      </c>
    </row>
  </sheetData>
  <sheetProtection sheet="true" formatCells="false" formatColumns="false" formatRows="false"/>
  <mergeCells count="7">
    <mergeCell ref="A1:D1"/>
    <mergeCell ref="A2:D2"/>
    <mergeCell ref="A4:D4"/>
    <mergeCell ref="A15:D15"/>
    <mergeCell ref="A22:D22"/>
    <mergeCell ref="A23:D23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2026-06-24T04:22:04Z</dcterms:created>
  <dc:creator>openpyxl</dc:creator>
  <dc:description/>
  <dc:language>en-US</dc:language>
  <cp:lastModifiedBy/>
  <dcterms:modified xsi:type="dcterms:W3CDTF">2026-06-24T04:22:05Z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